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IT KGP\SEM4\Transport engg lab\"/>
    </mc:Choice>
  </mc:AlternateContent>
  <xr:revisionPtr revIDLastSave="0" documentId="13_ncr:1_{57B162D4-8308-41CA-B038-879F564BA390}" xr6:coauthVersionLast="36" xr6:coauthVersionMax="36" xr10:uidLastSave="{00000000-0000-0000-0000-000000000000}"/>
  <bookViews>
    <workbookView xWindow="0" yWindow="0" windowWidth="23040" windowHeight="9648" activeTab="1" xr2:uid="{4297F161-E1AE-448D-86E3-4DEF4CA3E7CB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N6" i="5" l="1"/>
  <c r="N7" i="5" s="1"/>
  <c r="H51" i="5"/>
  <c r="G51" i="5"/>
  <c r="F51" i="5"/>
  <c r="D51" i="5"/>
  <c r="E51" i="5" s="1"/>
  <c r="H50" i="5"/>
  <c r="G50" i="5"/>
  <c r="F50" i="5"/>
  <c r="D50" i="5"/>
  <c r="E50" i="5" s="1"/>
  <c r="H49" i="5"/>
  <c r="G49" i="5"/>
  <c r="F49" i="5"/>
  <c r="D49" i="5"/>
  <c r="E49" i="5" s="1"/>
  <c r="H48" i="5"/>
  <c r="G48" i="5"/>
  <c r="F48" i="5"/>
  <c r="D48" i="5"/>
  <c r="E48" i="5" s="1"/>
  <c r="H47" i="5"/>
  <c r="G47" i="5"/>
  <c r="F47" i="5"/>
  <c r="D47" i="5"/>
  <c r="E47" i="5" s="1"/>
  <c r="H46" i="5"/>
  <c r="G46" i="5"/>
  <c r="F46" i="5"/>
  <c r="D46" i="5"/>
  <c r="E46" i="5" s="1"/>
  <c r="H45" i="5"/>
  <c r="G45" i="5"/>
  <c r="F45" i="5"/>
  <c r="D45" i="5"/>
  <c r="E45" i="5" s="1"/>
  <c r="H44" i="5"/>
  <c r="G44" i="5"/>
  <c r="F44" i="5"/>
  <c r="D44" i="5"/>
  <c r="E44" i="5" s="1"/>
  <c r="H43" i="5"/>
  <c r="G43" i="5"/>
  <c r="F43" i="5"/>
  <c r="D43" i="5"/>
  <c r="E43" i="5" s="1"/>
  <c r="H42" i="5"/>
  <c r="G42" i="5"/>
  <c r="F42" i="5"/>
  <c r="D42" i="5"/>
  <c r="E42" i="5" s="1"/>
  <c r="H41" i="5"/>
  <c r="G41" i="5"/>
  <c r="F41" i="5"/>
  <c r="D41" i="5"/>
  <c r="E41" i="5" s="1"/>
  <c r="S40" i="5"/>
  <c r="H40" i="5"/>
  <c r="G40" i="5"/>
  <c r="F40" i="5"/>
  <c r="D40" i="5"/>
  <c r="E40" i="5" s="1"/>
  <c r="S39" i="5"/>
  <c r="H39" i="5"/>
  <c r="G39" i="5"/>
  <c r="F39" i="5"/>
  <c r="D39" i="5"/>
  <c r="E39" i="5" s="1"/>
  <c r="S38" i="5"/>
  <c r="H38" i="5"/>
  <c r="G38" i="5"/>
  <c r="F38" i="5"/>
  <c r="D38" i="5"/>
  <c r="E38" i="5" s="1"/>
  <c r="S37" i="5"/>
  <c r="H37" i="5"/>
  <c r="G37" i="5"/>
  <c r="F37" i="5"/>
  <c r="D37" i="5"/>
  <c r="E37" i="5" s="1"/>
  <c r="S36" i="5"/>
  <c r="H36" i="5"/>
  <c r="G36" i="5"/>
  <c r="F36" i="5"/>
  <c r="D36" i="5"/>
  <c r="E36" i="5" s="1"/>
  <c r="S35" i="5"/>
  <c r="H35" i="5"/>
  <c r="G35" i="5"/>
  <c r="F35" i="5"/>
  <c r="D35" i="5"/>
  <c r="E35" i="5" s="1"/>
  <c r="S34" i="5"/>
  <c r="H34" i="5"/>
  <c r="G34" i="5"/>
  <c r="F34" i="5"/>
  <c r="D34" i="5"/>
  <c r="E34" i="5" s="1"/>
  <c r="S33" i="5"/>
  <c r="H33" i="5"/>
  <c r="G33" i="5"/>
  <c r="F33" i="5"/>
  <c r="D33" i="5"/>
  <c r="E33" i="5" s="1"/>
  <c r="S32" i="5"/>
  <c r="H32" i="5"/>
  <c r="G32" i="5"/>
  <c r="F32" i="5"/>
  <c r="D32" i="5"/>
  <c r="E32" i="5" s="1"/>
  <c r="S31" i="5"/>
  <c r="H31" i="5"/>
  <c r="G31" i="5"/>
  <c r="F31" i="5"/>
  <c r="D31" i="5"/>
  <c r="E31" i="5" s="1"/>
  <c r="S30" i="5"/>
  <c r="H30" i="5"/>
  <c r="G30" i="5"/>
  <c r="F30" i="5"/>
  <c r="D30" i="5"/>
  <c r="E30" i="5" s="1"/>
  <c r="S29" i="5"/>
  <c r="H29" i="5"/>
  <c r="G29" i="5"/>
  <c r="F29" i="5"/>
  <c r="D29" i="5"/>
  <c r="E29" i="5" s="1"/>
  <c r="S28" i="5"/>
  <c r="H28" i="5"/>
  <c r="G28" i="5"/>
  <c r="F28" i="5"/>
  <c r="D28" i="5"/>
  <c r="E28" i="5" s="1"/>
  <c r="S27" i="5"/>
  <c r="H27" i="5"/>
  <c r="G27" i="5"/>
  <c r="F27" i="5"/>
  <c r="D27" i="5"/>
  <c r="E27" i="5" s="1"/>
  <c r="S26" i="5"/>
  <c r="H26" i="5"/>
  <c r="G26" i="5"/>
  <c r="F26" i="5"/>
  <c r="D26" i="5"/>
  <c r="E26" i="5" s="1"/>
  <c r="S25" i="5"/>
  <c r="H25" i="5"/>
  <c r="G25" i="5"/>
  <c r="F25" i="5"/>
  <c r="D25" i="5"/>
  <c r="E25" i="5" s="1"/>
  <c r="S24" i="5"/>
  <c r="H24" i="5"/>
  <c r="G24" i="5"/>
  <c r="F24" i="5"/>
  <c r="D24" i="5"/>
  <c r="E24" i="5" s="1"/>
  <c r="S23" i="5"/>
  <c r="H23" i="5"/>
  <c r="G23" i="5"/>
  <c r="F23" i="5"/>
  <c r="D23" i="5"/>
  <c r="E23" i="5" s="1"/>
  <c r="S22" i="5"/>
  <c r="H22" i="5"/>
  <c r="G22" i="5"/>
  <c r="F22" i="5"/>
  <c r="D22" i="5"/>
  <c r="E22" i="5" s="1"/>
  <c r="S21" i="5"/>
  <c r="H21" i="5"/>
  <c r="G21" i="5"/>
  <c r="F21" i="5"/>
  <c r="D21" i="5"/>
  <c r="E21" i="5" s="1"/>
  <c r="S20" i="5"/>
  <c r="H20" i="5"/>
  <c r="G20" i="5"/>
  <c r="F20" i="5"/>
  <c r="D20" i="5"/>
  <c r="E20" i="5" s="1"/>
  <c r="S19" i="5"/>
  <c r="H19" i="5"/>
  <c r="G19" i="5"/>
  <c r="F19" i="5"/>
  <c r="D19" i="5"/>
  <c r="E19" i="5" s="1"/>
  <c r="S18" i="5"/>
  <c r="H18" i="5"/>
  <c r="G18" i="5"/>
  <c r="F18" i="5"/>
  <c r="D18" i="5"/>
  <c r="E18" i="5" s="1"/>
  <c r="S17" i="5"/>
  <c r="H17" i="5"/>
  <c r="G17" i="5"/>
  <c r="F17" i="5"/>
  <c r="D17" i="5"/>
  <c r="E17" i="5" s="1"/>
  <c r="S16" i="5"/>
  <c r="H16" i="5"/>
  <c r="G16" i="5"/>
  <c r="F16" i="5"/>
  <c r="D16" i="5"/>
  <c r="E16" i="5" s="1"/>
  <c r="S15" i="5"/>
  <c r="H15" i="5"/>
  <c r="G15" i="5"/>
  <c r="F15" i="5"/>
  <c r="D15" i="5"/>
  <c r="E15" i="5" s="1"/>
  <c r="S14" i="5"/>
  <c r="H14" i="5"/>
  <c r="G14" i="5"/>
  <c r="F14" i="5"/>
  <c r="D14" i="5"/>
  <c r="E14" i="5" s="1"/>
  <c r="S13" i="5"/>
  <c r="H13" i="5"/>
  <c r="G13" i="5"/>
  <c r="F13" i="5"/>
  <c r="D13" i="5"/>
  <c r="E13" i="5" s="1"/>
  <c r="S12" i="5"/>
  <c r="H12" i="5"/>
  <c r="G12" i="5"/>
  <c r="F12" i="5"/>
  <c r="D12" i="5"/>
  <c r="E12" i="5" s="1"/>
  <c r="S11" i="5"/>
  <c r="H11" i="5"/>
  <c r="G11" i="5"/>
  <c r="F11" i="5"/>
  <c r="D11" i="5"/>
  <c r="E11" i="5" s="1"/>
  <c r="S10" i="5"/>
  <c r="H10" i="5"/>
  <c r="G10" i="5"/>
  <c r="F10" i="5"/>
  <c r="D10" i="5"/>
  <c r="E10" i="5" s="1"/>
  <c r="S9" i="5"/>
  <c r="H9" i="5"/>
  <c r="G9" i="5"/>
  <c r="F9" i="5"/>
  <c r="D9" i="5"/>
  <c r="E9" i="5" s="1"/>
  <c r="S8" i="5"/>
  <c r="H8" i="5"/>
  <c r="G8" i="5"/>
  <c r="F8" i="5"/>
  <c r="D8" i="5"/>
  <c r="E8" i="5" s="1"/>
  <c r="S7" i="5"/>
  <c r="H7" i="5"/>
  <c r="G7" i="5"/>
  <c r="F7" i="5"/>
  <c r="D7" i="5"/>
  <c r="E7" i="5" s="1"/>
  <c r="S6" i="5"/>
  <c r="H6" i="5"/>
  <c r="G6" i="5"/>
  <c r="F6" i="5"/>
  <c r="D6" i="5"/>
  <c r="E6" i="5" s="1"/>
  <c r="S5" i="5"/>
  <c r="H5" i="5"/>
  <c r="G5" i="5"/>
  <c r="F5" i="5"/>
  <c r="D5" i="5"/>
  <c r="E5" i="5" s="1"/>
  <c r="S4" i="5"/>
  <c r="H4" i="5"/>
  <c r="G4" i="5"/>
  <c r="F4" i="5"/>
  <c r="D4" i="5"/>
  <c r="E4" i="5" s="1"/>
  <c r="S3" i="5"/>
  <c r="H3" i="5"/>
  <c r="G3" i="5"/>
  <c r="F3" i="5"/>
  <c r="D3" i="5"/>
  <c r="E3" i="5" s="1"/>
  <c r="R6" i="5" l="1"/>
  <c r="R5" i="5"/>
  <c r="R36" i="5"/>
  <c r="R28" i="5"/>
  <c r="R20" i="5"/>
  <c r="R12" i="5"/>
  <c r="R4" i="5"/>
  <c r="R35" i="5"/>
  <c r="R27" i="5"/>
  <c r="R19" i="5"/>
  <c r="R11" i="5"/>
  <c r="R21" i="5"/>
  <c r="R10" i="5"/>
  <c r="R33" i="5"/>
  <c r="R25" i="5"/>
  <c r="R17" i="5"/>
  <c r="R9" i="5"/>
  <c r="R13" i="5"/>
  <c r="R18" i="5"/>
  <c r="R40" i="5"/>
  <c r="R32" i="5"/>
  <c r="R24" i="5"/>
  <c r="R16" i="5"/>
  <c r="R8" i="5"/>
  <c r="R37" i="5"/>
  <c r="R3" i="5"/>
  <c r="R34" i="5"/>
  <c r="R39" i="5"/>
  <c r="R31" i="5"/>
  <c r="R23" i="5"/>
  <c r="R15" i="5"/>
  <c r="R7" i="5"/>
  <c r="R29" i="5"/>
  <c r="R26" i="5"/>
  <c r="R38" i="5"/>
  <c r="R30" i="5"/>
  <c r="R22" i="5"/>
  <c r="R14" i="5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3" i="4"/>
  <c r="E3" i="4" s="1"/>
  <c r="Q30" i="5" l="1"/>
  <c r="Q39" i="5"/>
  <c r="Q18" i="5"/>
  <c r="Q3" i="5"/>
  <c r="Q13" i="5"/>
  <c r="Q19" i="5"/>
  <c r="Q5" i="5"/>
  <c r="Q29" i="5"/>
  <c r="Q37" i="5"/>
  <c r="Q9" i="5"/>
  <c r="Q27" i="5"/>
  <c r="Q6" i="5"/>
  <c r="Q38" i="5"/>
  <c r="Q8" i="5"/>
  <c r="Q35" i="5"/>
  <c r="Q16" i="5"/>
  <c r="Q25" i="5"/>
  <c r="Q14" i="5"/>
  <c r="Q23" i="5"/>
  <c r="Q24" i="5"/>
  <c r="Q33" i="5"/>
  <c r="Q12" i="5"/>
  <c r="Q7" i="5"/>
  <c r="Q17" i="5"/>
  <c r="Q15" i="5"/>
  <c r="Q4" i="5"/>
  <c r="Q22" i="5"/>
  <c r="Q31" i="5"/>
  <c r="Q32" i="5"/>
  <c r="Q10" i="5"/>
  <c r="Q20" i="5"/>
  <c r="Q40" i="5"/>
  <c r="Q21" i="5"/>
  <c r="Q28" i="5"/>
  <c r="Q34" i="5"/>
  <c r="Q11" i="5"/>
  <c r="Q36" i="5"/>
  <c r="Q26" i="5"/>
  <c r="K6" i="4"/>
  <c r="K7" i="4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3" i="3"/>
  <c r="M4" i="3"/>
  <c r="M5" i="3" s="1"/>
  <c r="M3" i="3"/>
  <c r="M6" i="3" s="1"/>
  <c r="M7" i="3" s="1"/>
  <c r="M8" i="3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3" i="3"/>
  <c r="E8" i="3"/>
  <c r="E11" i="3"/>
  <c r="E16" i="3"/>
  <c r="E19" i="3"/>
  <c r="E27" i="3"/>
  <c r="E35" i="3"/>
  <c r="E43" i="3"/>
  <c r="E51" i="3"/>
  <c r="D4" i="3"/>
  <c r="E4" i="3" s="1"/>
  <c r="D5" i="3"/>
  <c r="E5" i="3" s="1"/>
  <c r="D6" i="3"/>
  <c r="E6" i="3" s="1"/>
  <c r="D7" i="3"/>
  <c r="E7" i="3" s="1"/>
  <c r="D8" i="3"/>
  <c r="D9" i="3"/>
  <c r="E9" i="3" s="1"/>
  <c r="D10" i="3"/>
  <c r="E10" i="3" s="1"/>
  <c r="D11" i="3"/>
  <c r="D12" i="3"/>
  <c r="E12" i="3" s="1"/>
  <c r="D13" i="3"/>
  <c r="E13" i="3" s="1"/>
  <c r="D14" i="3"/>
  <c r="E14" i="3" s="1"/>
  <c r="D15" i="3"/>
  <c r="E15" i="3" s="1"/>
  <c r="D16" i="3"/>
  <c r="D17" i="3"/>
  <c r="E17" i="3" s="1"/>
  <c r="D18" i="3"/>
  <c r="E18" i="3" s="1"/>
  <c r="D19" i="3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D3" i="3"/>
  <c r="E3" i="3" s="1"/>
  <c r="P5" i="3" l="1"/>
  <c r="P13" i="3"/>
  <c r="P21" i="3"/>
  <c r="P29" i="3"/>
  <c r="P37" i="3"/>
  <c r="P45" i="3"/>
  <c r="P6" i="3"/>
  <c r="P14" i="3"/>
  <c r="P22" i="3"/>
  <c r="P30" i="3"/>
  <c r="P38" i="3"/>
  <c r="P46" i="3"/>
  <c r="P7" i="3"/>
  <c r="P23" i="3"/>
  <c r="P31" i="3"/>
  <c r="P47" i="3"/>
  <c r="P26" i="3"/>
  <c r="P8" i="3"/>
  <c r="P16" i="3"/>
  <c r="P24" i="3"/>
  <c r="P32" i="3"/>
  <c r="P40" i="3"/>
  <c r="P48" i="3"/>
  <c r="P9" i="3"/>
  <c r="P17" i="3"/>
  <c r="P25" i="3"/>
  <c r="P33" i="3"/>
  <c r="P41" i="3"/>
  <c r="P49" i="3"/>
  <c r="P10" i="3"/>
  <c r="P34" i="3"/>
  <c r="P42" i="3"/>
  <c r="P11" i="3"/>
  <c r="P19" i="3"/>
  <c r="P27" i="3"/>
  <c r="P35" i="3"/>
  <c r="P43" i="3"/>
  <c r="P51" i="3"/>
  <c r="P4" i="3"/>
  <c r="P12" i="3"/>
  <c r="P20" i="3"/>
  <c r="P28" i="3"/>
  <c r="P36" i="3"/>
  <c r="P44" i="3"/>
  <c r="P15" i="3"/>
  <c r="P39" i="3"/>
  <c r="P18" i="3"/>
  <c r="P50" i="3"/>
  <c r="P3" i="3"/>
  <c r="Y4" i="5"/>
  <c r="Y6" i="5"/>
  <c r="Y7" i="5"/>
  <c r="Y3" i="5"/>
  <c r="V3" i="5"/>
  <c r="Y5" i="5"/>
  <c r="V5" i="5"/>
  <c r="V4" i="5"/>
  <c r="AB9" i="5"/>
  <c r="AB8" i="5"/>
  <c r="AB4" i="5"/>
  <c r="AB7" i="5"/>
  <c r="AB6" i="5"/>
  <c r="AB3" i="5"/>
  <c r="AB5" i="5"/>
  <c r="N3" i="4"/>
  <c r="N5" i="4"/>
  <c r="N46" i="4"/>
  <c r="N16" i="4"/>
  <c r="N19" i="4"/>
  <c r="N27" i="4"/>
  <c r="N43" i="4"/>
  <c r="N13" i="4"/>
  <c r="N37" i="4"/>
  <c r="N11" i="4"/>
  <c r="N35" i="4"/>
  <c r="N51" i="4"/>
  <c r="N21" i="4"/>
  <c r="N29" i="4"/>
  <c r="N45" i="4"/>
  <c r="N6" i="4"/>
  <c r="N14" i="4"/>
  <c r="N22" i="4"/>
  <c r="N30" i="4"/>
  <c r="N38" i="4"/>
  <c r="N7" i="4"/>
  <c r="N15" i="4"/>
  <c r="N23" i="4"/>
  <c r="N31" i="4"/>
  <c r="N39" i="4"/>
  <c r="N47" i="4"/>
  <c r="N8" i="4"/>
  <c r="N24" i="4"/>
  <c r="N32" i="4"/>
  <c r="N40" i="4"/>
  <c r="N48" i="4"/>
  <c r="N25" i="4"/>
  <c r="N42" i="4"/>
  <c r="N12" i="4"/>
  <c r="N33" i="4"/>
  <c r="N50" i="4"/>
  <c r="N20" i="4"/>
  <c r="N41" i="4"/>
  <c r="N4" i="4"/>
  <c r="N28" i="4"/>
  <c r="N49" i="4"/>
  <c r="N36" i="4"/>
  <c r="N10" i="4"/>
  <c r="N44" i="4"/>
  <c r="N18" i="4"/>
  <c r="N9" i="4"/>
  <c r="N26" i="4"/>
  <c r="N34" i="4"/>
  <c r="N17" i="4"/>
  <c r="V11" i="5" l="1"/>
  <c r="V12" i="5" s="1"/>
  <c r="AB11" i="5"/>
  <c r="AB12" i="5" s="1"/>
  <c r="Y11" i="5"/>
  <c r="Y12" i="5" s="1"/>
  <c r="M17" i="4"/>
  <c r="M3" i="4"/>
  <c r="M49" i="4"/>
  <c r="M42" i="4"/>
  <c r="M37" i="4"/>
  <c r="M14" i="4"/>
  <c r="M28" i="4"/>
  <c r="M13" i="4"/>
  <c r="M26" i="4"/>
  <c r="M48" i="4"/>
  <c r="M23" i="4"/>
  <c r="M34" i="4"/>
  <c r="M6" i="4"/>
  <c r="M4" i="4"/>
  <c r="M45" i="4"/>
  <c r="M39" i="4"/>
  <c r="M25" i="4"/>
  <c r="M31" i="4"/>
  <c r="M36" i="4"/>
  <c r="M12" i="4"/>
  <c r="M47" i="4"/>
  <c r="M22" i="4"/>
  <c r="M11" i="4"/>
  <c r="M7" i="4"/>
  <c r="M41" i="4"/>
  <c r="M15" i="4"/>
  <c r="M27" i="4"/>
  <c r="M18" i="4"/>
  <c r="M20" i="4"/>
  <c r="M21" i="4"/>
  <c r="M44" i="4"/>
  <c r="M50" i="4"/>
  <c r="M24" i="4"/>
  <c r="M38" i="4"/>
  <c r="M51" i="4"/>
  <c r="M16" i="4"/>
  <c r="M9" i="4"/>
  <c r="M40" i="4"/>
  <c r="M29" i="4"/>
  <c r="M32" i="4"/>
  <c r="M19" i="4"/>
  <c r="M10" i="4"/>
  <c r="M33" i="4"/>
  <c r="M8" i="4"/>
  <c r="M30" i="4"/>
  <c r="M35" i="4"/>
  <c r="M46" i="4"/>
  <c r="M43" i="4"/>
  <c r="M5" i="4"/>
  <c r="O28" i="3"/>
  <c r="O12" i="3"/>
  <c r="O29" i="3"/>
  <c r="O46" i="3"/>
  <c r="O17" i="3"/>
  <c r="O33" i="3"/>
  <c r="O50" i="3"/>
  <c r="O20" i="3"/>
  <c r="O37" i="3"/>
  <c r="O25" i="3"/>
  <c r="O8" i="3"/>
  <c r="O41" i="3"/>
  <c r="O11" i="3"/>
  <c r="O19" i="3"/>
  <c r="O36" i="3"/>
  <c r="O6" i="3"/>
  <c r="O15" i="3"/>
  <c r="O24" i="3"/>
  <c r="O10" i="3"/>
  <c r="O27" i="3"/>
  <c r="O49" i="3"/>
  <c r="O44" i="3"/>
  <c r="O14" i="3"/>
  <c r="O23" i="3"/>
  <c r="O32" i="3"/>
  <c r="O18" i="3"/>
  <c r="O35" i="3"/>
  <c r="O16" i="3"/>
  <c r="O3" i="3"/>
  <c r="O22" i="3"/>
  <c r="O31" i="3"/>
  <c r="O40" i="3"/>
  <c r="O26" i="3"/>
  <c r="O43" i="3"/>
  <c r="O45" i="3"/>
  <c r="O13" i="3"/>
  <c r="O30" i="3"/>
  <c r="O39" i="3"/>
  <c r="O48" i="3"/>
  <c r="O34" i="3"/>
  <c r="O51" i="3"/>
  <c r="O7" i="3"/>
  <c r="O4" i="3"/>
  <c r="O21" i="3"/>
  <c r="O38" i="3"/>
  <c r="O47" i="3"/>
  <c r="O9" i="3"/>
  <c r="O42" i="3"/>
  <c r="O5" i="3"/>
  <c r="X6" i="4" l="1"/>
  <c r="X9" i="4"/>
  <c r="X8" i="4"/>
  <c r="X7" i="4"/>
  <c r="X3" i="4"/>
  <c r="X5" i="4"/>
  <c r="X4" i="4"/>
  <c r="U4" i="4"/>
  <c r="U7" i="4"/>
  <c r="U5" i="4"/>
  <c r="U3" i="4"/>
  <c r="U6" i="4"/>
  <c r="R3" i="4"/>
  <c r="R4" i="4"/>
  <c r="R5" i="4"/>
  <c r="Z4" i="3"/>
  <c r="Z5" i="3"/>
  <c r="Z6" i="3"/>
  <c r="Z9" i="3"/>
  <c r="Z7" i="3"/>
  <c r="Z8" i="3"/>
  <c r="Z3" i="3"/>
  <c r="W4" i="3"/>
  <c r="W5" i="3"/>
  <c r="W6" i="3"/>
  <c r="W7" i="3"/>
  <c r="W3" i="3"/>
  <c r="T4" i="3"/>
  <c r="T5" i="3"/>
  <c r="T3" i="3"/>
  <c r="R11" i="4" l="1"/>
  <c r="R12" i="4" s="1"/>
  <c r="X11" i="4"/>
  <c r="X12" i="4" s="1"/>
  <c r="U11" i="4"/>
  <c r="U12" i="4" s="1"/>
  <c r="Z11" i="3"/>
  <c r="Z12" i="3" s="1"/>
  <c r="W11" i="3"/>
  <c r="W12" i="3" s="1"/>
  <c r="T11" i="3"/>
  <c r="T12" i="3" s="1"/>
  <c r="O4" i="2" l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3" i="2"/>
  <c r="K4" i="2"/>
  <c r="K3" i="2"/>
  <c r="K6" i="2" s="1"/>
  <c r="K7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3" i="2"/>
  <c r="N5" i="2" l="1"/>
  <c r="N50" i="2"/>
  <c r="N42" i="2"/>
  <c r="N34" i="2"/>
  <c r="N26" i="2"/>
  <c r="N18" i="2"/>
  <c r="N10" i="2"/>
  <c r="N11" i="2"/>
  <c r="N49" i="2"/>
  <c r="N41" i="2"/>
  <c r="N33" i="2"/>
  <c r="N25" i="2"/>
  <c r="N17" i="2"/>
  <c r="N9" i="2"/>
  <c r="N43" i="2"/>
  <c r="N19" i="2"/>
  <c r="N48" i="2"/>
  <c r="N40" i="2"/>
  <c r="N32" i="2"/>
  <c r="N24" i="2"/>
  <c r="N16" i="2"/>
  <c r="N8" i="2"/>
  <c r="N35" i="2"/>
  <c r="N47" i="2"/>
  <c r="N39" i="2"/>
  <c r="N31" i="2"/>
  <c r="N23" i="2"/>
  <c r="N15" i="2"/>
  <c r="N7" i="2"/>
  <c r="N51" i="2"/>
  <c r="N27" i="2"/>
  <c r="N46" i="2"/>
  <c r="N38" i="2"/>
  <c r="N30" i="2"/>
  <c r="N22" i="2"/>
  <c r="N14" i="2"/>
  <c r="N6" i="2"/>
  <c r="N45" i="2"/>
  <c r="N37" i="2"/>
  <c r="N29" i="2"/>
  <c r="N21" i="2"/>
  <c r="N13" i="2"/>
  <c r="N3" i="2"/>
  <c r="N44" i="2"/>
  <c r="N36" i="2"/>
  <c r="N28" i="2"/>
  <c r="N20" i="2"/>
  <c r="N12" i="2"/>
  <c r="N4" i="2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3" i="1"/>
  <c r="K4" i="1"/>
  <c r="K3" i="1"/>
  <c r="K6" i="1" s="1"/>
  <c r="K7" i="1" s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3" i="1"/>
  <c r="N19" i="1" l="1"/>
  <c r="M12" i="2"/>
  <c r="M46" i="2"/>
  <c r="M47" i="2"/>
  <c r="M29" i="2"/>
  <c r="M11" i="2"/>
  <c r="M20" i="2"/>
  <c r="M37" i="2"/>
  <c r="M27" i="2"/>
  <c r="M35" i="2"/>
  <c r="M43" i="2"/>
  <c r="M10" i="2"/>
  <c r="M19" i="2"/>
  <c r="M28" i="2"/>
  <c r="M45" i="2"/>
  <c r="M51" i="2"/>
  <c r="M8" i="2"/>
  <c r="M9" i="2"/>
  <c r="M18" i="2"/>
  <c r="M36" i="2"/>
  <c r="M6" i="2"/>
  <c r="M7" i="2"/>
  <c r="M16" i="2"/>
  <c r="M17" i="2"/>
  <c r="M26" i="2"/>
  <c r="M44" i="2"/>
  <c r="M14" i="2"/>
  <c r="M15" i="2"/>
  <c r="M24" i="2"/>
  <c r="M25" i="2"/>
  <c r="M34" i="2"/>
  <c r="M22" i="2"/>
  <c r="M23" i="2"/>
  <c r="M32" i="2"/>
  <c r="M33" i="2"/>
  <c r="M42" i="2"/>
  <c r="M13" i="2"/>
  <c r="M30" i="2"/>
  <c r="M31" i="2"/>
  <c r="M40" i="2"/>
  <c r="M41" i="2"/>
  <c r="M50" i="2"/>
  <c r="M4" i="2"/>
  <c r="M21" i="2"/>
  <c r="M38" i="2"/>
  <c r="M39" i="2"/>
  <c r="M48" i="2"/>
  <c r="M49" i="2"/>
  <c r="M5" i="2"/>
  <c r="M3" i="2"/>
  <c r="N5" i="1"/>
  <c r="N51" i="1"/>
  <c r="N35" i="1"/>
  <c r="N27" i="1"/>
  <c r="N11" i="1"/>
  <c r="N50" i="1"/>
  <c r="N42" i="1"/>
  <c r="N34" i="1"/>
  <c r="N26" i="1"/>
  <c r="N18" i="1"/>
  <c r="N10" i="1"/>
  <c r="N49" i="1"/>
  <c r="N41" i="1"/>
  <c r="N33" i="1"/>
  <c r="N25" i="1"/>
  <c r="N17" i="1"/>
  <c r="N9" i="1"/>
  <c r="N43" i="1"/>
  <c r="N48" i="1"/>
  <c r="N40" i="1"/>
  <c r="N32" i="1"/>
  <c r="N24" i="1"/>
  <c r="N16" i="1"/>
  <c r="N8" i="1"/>
  <c r="N47" i="1"/>
  <c r="N39" i="1"/>
  <c r="N31" i="1"/>
  <c r="N23" i="1"/>
  <c r="N15" i="1"/>
  <c r="N7" i="1"/>
  <c r="N46" i="1"/>
  <c r="N38" i="1"/>
  <c r="N30" i="1"/>
  <c r="N22" i="1"/>
  <c r="N14" i="1"/>
  <c r="N6" i="1"/>
  <c r="N45" i="1"/>
  <c r="N37" i="1"/>
  <c r="N29" i="1"/>
  <c r="N21" i="1"/>
  <c r="N13" i="1"/>
  <c r="N3" i="1"/>
  <c r="N44" i="1"/>
  <c r="N36" i="1"/>
  <c r="N28" i="1"/>
  <c r="N20" i="1"/>
  <c r="N12" i="1"/>
  <c r="N4" i="1"/>
  <c r="X6" i="2" l="1"/>
  <c r="X5" i="2"/>
  <c r="X7" i="2"/>
  <c r="X8" i="2"/>
  <c r="X4" i="2"/>
  <c r="X9" i="2"/>
  <c r="X3" i="2"/>
  <c r="U5" i="2"/>
  <c r="U6" i="2"/>
  <c r="U7" i="2"/>
  <c r="U4" i="2"/>
  <c r="U3" i="2"/>
  <c r="R5" i="2"/>
  <c r="R4" i="2"/>
  <c r="R3" i="2"/>
  <c r="M4" i="1"/>
  <c r="M38" i="1"/>
  <c r="M19" i="1"/>
  <c r="M29" i="1"/>
  <c r="M16" i="1"/>
  <c r="M42" i="1"/>
  <c r="M37" i="1"/>
  <c r="M50" i="1"/>
  <c r="M28" i="1"/>
  <c r="M45" i="1"/>
  <c r="M15" i="1"/>
  <c r="M32" i="1"/>
  <c r="M41" i="1"/>
  <c r="M11" i="1"/>
  <c r="M21" i="1"/>
  <c r="M34" i="1"/>
  <c r="M12" i="1"/>
  <c r="M7" i="1"/>
  <c r="M33" i="1"/>
  <c r="M36" i="1"/>
  <c r="M6" i="1"/>
  <c r="M23" i="1"/>
  <c r="M40" i="1"/>
  <c r="M49" i="1"/>
  <c r="M27" i="1"/>
  <c r="M8" i="1"/>
  <c r="M46" i="1"/>
  <c r="M25" i="1"/>
  <c r="M20" i="1"/>
  <c r="M24" i="1"/>
  <c r="M44" i="1"/>
  <c r="M14" i="1"/>
  <c r="M31" i="1"/>
  <c r="M48" i="1"/>
  <c r="M10" i="1"/>
  <c r="M35" i="1"/>
  <c r="M17" i="1"/>
  <c r="M3" i="1"/>
  <c r="M22" i="1"/>
  <c r="M39" i="1"/>
  <c r="M43" i="1"/>
  <c r="M18" i="1"/>
  <c r="M51" i="1"/>
  <c r="M13" i="1"/>
  <c r="M30" i="1"/>
  <c r="M47" i="1"/>
  <c r="M9" i="1"/>
  <c r="M26" i="1"/>
  <c r="M5" i="1"/>
  <c r="X11" i="2" l="1"/>
  <c r="X12" i="2" s="1"/>
  <c r="U11" i="2"/>
  <c r="U12" i="2" s="1"/>
  <c r="R11" i="2"/>
  <c r="R12" i="2" s="1"/>
  <c r="X3" i="1"/>
  <c r="X5" i="1"/>
  <c r="X6" i="1"/>
  <c r="X7" i="1"/>
  <c r="X9" i="1"/>
  <c r="X8" i="1"/>
  <c r="X4" i="1"/>
  <c r="U5" i="1"/>
  <c r="U6" i="1"/>
  <c r="U7" i="1"/>
  <c r="U4" i="1"/>
  <c r="U3" i="1"/>
  <c r="R4" i="1"/>
  <c r="R5" i="1"/>
  <c r="R3" i="1"/>
  <c r="X11" i="1" l="1"/>
  <c r="X12" i="1" s="1"/>
  <c r="U11" i="1"/>
  <c r="U12" i="1" s="1"/>
  <c r="R11" i="1"/>
  <c r="R12" i="1" s="1"/>
</calcChain>
</file>

<file path=xl/sharedStrings.xml><?xml version="1.0" encoding="utf-8"?>
<sst xmlns="http://schemas.openxmlformats.org/spreadsheetml/2006/main" count="643" uniqueCount="172">
  <si>
    <t>Dataset</t>
  </si>
  <si>
    <t>Time</t>
  </si>
  <si>
    <t>Speed</t>
  </si>
  <si>
    <t>Crash Severity</t>
  </si>
  <si>
    <t>11:06:16</t>
  </si>
  <si>
    <t>Class 2</t>
  </si>
  <si>
    <t>04:42:43</t>
  </si>
  <si>
    <t>Class 3</t>
  </si>
  <si>
    <t>17:50:42</t>
  </si>
  <si>
    <t>02:57:36</t>
  </si>
  <si>
    <t>18:41:11</t>
  </si>
  <si>
    <t>10:06:45</t>
  </si>
  <si>
    <t>Class 1</t>
  </si>
  <si>
    <t>08:18:38</t>
  </si>
  <si>
    <t>00:01:03</t>
  </si>
  <si>
    <t>23:02:19</t>
  </si>
  <si>
    <t>22:37:00</t>
  </si>
  <si>
    <t>23:48:34</t>
  </si>
  <si>
    <t>07:37:19</t>
  </si>
  <si>
    <t>15:52:41</t>
  </si>
  <si>
    <t>16:27:20</t>
  </si>
  <si>
    <t>23:46:04</t>
  </si>
  <si>
    <t>04:57:03</t>
  </si>
  <si>
    <t>15:36:16</t>
  </si>
  <si>
    <t>15:36:43</t>
  </si>
  <si>
    <t>03:55:04</t>
  </si>
  <si>
    <t>07:53:47</t>
  </si>
  <si>
    <t>09:34:52</t>
  </si>
  <si>
    <t>20:51:37</t>
  </si>
  <si>
    <t>21:30:42</t>
  </si>
  <si>
    <t>21:09:34</t>
  </si>
  <si>
    <t>23:02:43</t>
  </si>
  <si>
    <t>07:30:37</t>
  </si>
  <si>
    <t>22:16:16</t>
  </si>
  <si>
    <t>12:48:23</t>
  </si>
  <si>
    <t>15:39:17</t>
  </si>
  <si>
    <t>17:36:16</t>
  </si>
  <si>
    <t>06:24:56</t>
  </si>
  <si>
    <t>18:30:47</t>
  </si>
  <si>
    <t>01:13:43</t>
  </si>
  <si>
    <t>07:32:41</t>
  </si>
  <si>
    <t>17:20:34</t>
  </si>
  <si>
    <t>04:52:54</t>
  </si>
  <si>
    <t>03:39:11</t>
  </si>
  <si>
    <t>05:42:35</t>
  </si>
  <si>
    <t>01:55:29</t>
  </si>
  <si>
    <t>15:11:22</t>
  </si>
  <si>
    <t>20:12:20</t>
  </si>
  <si>
    <t>23:45:52</t>
  </si>
  <si>
    <t>15:51:45</t>
  </si>
  <si>
    <t>08:34:12</t>
  </si>
  <si>
    <t>11:07:26</t>
  </si>
  <si>
    <t>05:55:01</t>
  </si>
  <si>
    <t>23:11:30</t>
  </si>
  <si>
    <t>03:07:49</t>
  </si>
  <si>
    <t>16:53:34</t>
  </si>
  <si>
    <t>time(1)</t>
  </si>
  <si>
    <t>Time Final</t>
  </si>
  <si>
    <t>Unknown Value</t>
  </si>
  <si>
    <t>Rank</t>
  </si>
  <si>
    <t>Euclidean Distance</t>
  </si>
  <si>
    <t>Class</t>
  </si>
  <si>
    <t>K = 3</t>
  </si>
  <si>
    <t xml:space="preserve">K </t>
  </si>
  <si>
    <t>Result</t>
  </si>
  <si>
    <t>K = 5</t>
  </si>
  <si>
    <t>K</t>
  </si>
  <si>
    <t>K=7</t>
  </si>
  <si>
    <t xml:space="preserve"> </t>
  </si>
  <si>
    <t>18:27:18</t>
  </si>
  <si>
    <t>00:28:57</t>
  </si>
  <si>
    <t>13:37:55</t>
  </si>
  <si>
    <t>03:31:42</t>
  </si>
  <si>
    <t>23:13:23</t>
  </si>
  <si>
    <t>18:02:27</t>
  </si>
  <si>
    <t>04:19:00</t>
  </si>
  <si>
    <t>20:00:37</t>
  </si>
  <si>
    <t>21:36:31</t>
  </si>
  <si>
    <t>16:15:02</t>
  </si>
  <si>
    <t>13:10:09</t>
  </si>
  <si>
    <t>01:09:11</t>
  </si>
  <si>
    <t>05:25:26</t>
  </si>
  <si>
    <t>08:56:10</t>
  </si>
  <si>
    <t>03:08:45</t>
  </si>
  <si>
    <t>15:35:05</t>
  </si>
  <si>
    <t>16:45:55</t>
  </si>
  <si>
    <t>17:52:19</t>
  </si>
  <si>
    <t>01:19:45</t>
  </si>
  <si>
    <t>11:40:17</t>
  </si>
  <si>
    <t>17:08:05</t>
  </si>
  <si>
    <t>11:27:31</t>
  </si>
  <si>
    <t>12:11:57</t>
  </si>
  <si>
    <t>01:35:57</t>
  </si>
  <si>
    <t>13:27:03</t>
  </si>
  <si>
    <t>05:08:47</t>
  </si>
  <si>
    <t>00:43:02</t>
  </si>
  <si>
    <t>13:24:53</t>
  </si>
  <si>
    <t>11:49:09</t>
  </si>
  <si>
    <t>02:38:07</t>
  </si>
  <si>
    <t>22:40:30</t>
  </si>
  <si>
    <t>06:24:42</t>
  </si>
  <si>
    <t>09:34:49</t>
  </si>
  <si>
    <t>04:05:21</t>
  </si>
  <si>
    <t>01:15:19</t>
  </si>
  <si>
    <t>21:26:35</t>
  </si>
  <si>
    <t>23:35:55</t>
  </si>
  <si>
    <t>17:36:59</t>
  </si>
  <si>
    <t>08:25:37</t>
  </si>
  <si>
    <t>07:34:56</t>
  </si>
  <si>
    <t>17:43:56</t>
  </si>
  <si>
    <t>22:55:03</t>
  </si>
  <si>
    <t>02:45:59</t>
  </si>
  <si>
    <t>18:26:50</t>
  </si>
  <si>
    <t>15:39:51</t>
  </si>
  <si>
    <t>06:44:51</t>
  </si>
  <si>
    <t>10:10:48</t>
  </si>
  <si>
    <t>20:45:22</t>
  </si>
  <si>
    <t>07:17:19</t>
  </si>
  <si>
    <t>Class2</t>
  </si>
  <si>
    <t>KNN Algorithm</t>
  </si>
  <si>
    <t>06:32:10</t>
  </si>
  <si>
    <t>13:25:34</t>
  </si>
  <si>
    <t>03:16:56</t>
  </si>
  <si>
    <t>14:28:06</t>
  </si>
  <si>
    <t>11:32:10</t>
  </si>
  <si>
    <t>00:57:22</t>
  </si>
  <si>
    <t>21:21:05</t>
  </si>
  <si>
    <t>02:52:14</t>
  </si>
  <si>
    <t>00:30:50</t>
  </si>
  <si>
    <t>00:50:50</t>
  </si>
  <si>
    <t>07:31:40</t>
  </si>
  <si>
    <t>14:43:19</t>
  </si>
  <si>
    <t>18:58:08</t>
  </si>
  <si>
    <t>13:04:45</t>
  </si>
  <si>
    <t>15:28:25</t>
  </si>
  <si>
    <t>06:41:49</t>
  </si>
  <si>
    <t>16:37:18</t>
  </si>
  <si>
    <t>23:46:34</t>
  </si>
  <si>
    <t>22:57:56</t>
  </si>
  <si>
    <t>04:45:44</t>
  </si>
  <si>
    <t>16:37:49</t>
  </si>
  <si>
    <t>11:47:57</t>
  </si>
  <si>
    <t>16:37:37</t>
  </si>
  <si>
    <t>00:30:52</t>
  </si>
  <si>
    <t>01:15:45</t>
  </si>
  <si>
    <t>11:35:27</t>
  </si>
  <si>
    <t>01:53:53</t>
  </si>
  <si>
    <t>05:10:02</t>
  </si>
  <si>
    <t>16:31:48</t>
  </si>
  <si>
    <t>23:44:36</t>
  </si>
  <si>
    <t>11:35:19</t>
  </si>
  <si>
    <t>05:08:33</t>
  </si>
  <si>
    <t>23:59:39</t>
  </si>
  <si>
    <t>07:04:03</t>
  </si>
  <si>
    <t>12:11:25</t>
  </si>
  <si>
    <t>09:24:05</t>
  </si>
  <si>
    <t>14:56:39</t>
  </si>
  <si>
    <t>19:24:46</t>
  </si>
  <si>
    <t>17:48:01</t>
  </si>
  <si>
    <t>01:43:04</t>
  </si>
  <si>
    <t>10:39:28</t>
  </si>
  <si>
    <t>10:17:22</t>
  </si>
  <si>
    <t>12:32:08</t>
  </si>
  <si>
    <t>01:15:14</t>
  </si>
  <si>
    <t>08:58:52</t>
  </si>
  <si>
    <t>16:28:50</t>
  </si>
  <si>
    <t>17:54:48</t>
  </si>
  <si>
    <t>09:50:41</t>
  </si>
  <si>
    <t>14:58:45</t>
  </si>
  <si>
    <t>N Speed</t>
  </si>
  <si>
    <t>N Time</t>
  </si>
  <si>
    <t>N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</si>
</sst>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4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1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1" fillId="3" borderId="2" xfId="0" applyFont="1" applyFill="1" applyBorder="1"/>
    <xf numFmtId="0" fontId="1" fillId="0" borderId="0" xfId="0" applyFont="1" applyFill="1"/>
    <xf numFmtId="21" fontId="0" fillId="6" borderId="1" xfId="0" applyNumberFormat="1" applyFill="1" applyBorder="1"/>
    <xf numFmtId="0" fontId="1" fillId="3" borderId="3" xfId="0" applyFont="1" applyFill="1" applyBorder="1"/>
    <xf numFmtId="0" fontId="1" fillId="0" borderId="0" xfId="0" applyFont="1"/>
    <xf numFmtId="0" fontId="1" fillId="4" borderId="0" xfId="0" applyFont="1" applyFill="1" applyBorder="1" applyAlignment="1">
      <alignment horizontal="center"/>
    </xf>
    <xf numFmtId="0" fontId="1" fillId="3" borderId="0" xfId="0" applyFont="1" applyFill="1" applyBorder="1"/>
    <xf numFmtId="0" fontId="0" fillId="5" borderId="0" xfId="0" applyFill="1" applyBorder="1"/>
    <xf numFmtId="0" fontId="0" fillId="6" borderId="0" xfId="0" applyFill="1" applyBorder="1"/>
    <xf numFmtId="21" fontId="0" fillId="5" borderId="1" xfId="0" applyNumberFormat="1" applyFill="1" applyBorder="1"/>
    <xf numFmtId="0" fontId="0" fillId="9" borderId="1" xfId="0" applyFill="1" applyBorder="1"/>
    <xf numFmtId="0" fontId="0" fillId="9" borderId="0" xfId="0" applyFill="1" applyBorder="1"/>
    <xf numFmtId="0" fontId="0" fillId="9" borderId="0" xfId="0" applyFill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Class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Sheet1!$F$3:$F$51</c:f>
              <c:numCache>
                <c:formatCode>General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64.187944830978154</c:v>
                </c:pt>
                <c:pt idx="6">
                  <c:v>60.174414029839298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83.693289377081797</c:v>
                </c:pt>
                <c:pt idx="12">
                  <c:v>76.174302255765184</c:v>
                </c:pt>
                <c:pt idx="13">
                  <c:v>74.163316536200469</c:v>
                </c:pt>
                <c:pt idx="14">
                  <c:v>#N/A</c:v>
                </c:pt>
                <c:pt idx="15">
                  <c:v>#N/A</c:v>
                </c:pt>
                <c:pt idx="16">
                  <c:v>62.889166360453181</c:v>
                </c:pt>
                <c:pt idx="17">
                  <c:v>78.216497499682504</c:v>
                </c:pt>
                <c:pt idx="18">
                  <c:v>#N/A</c:v>
                </c:pt>
                <c:pt idx="19">
                  <c:v>56.827373179079508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58.724809401522542</c:v>
                </c:pt>
                <c:pt idx="28">
                  <c:v>70.020101075816171</c:v>
                </c:pt>
                <c:pt idx="29">
                  <c:v>#N/A</c:v>
                </c:pt>
                <c:pt idx="30">
                  <c:v>41.619050102042891</c:v>
                </c:pt>
                <c:pt idx="31">
                  <c:v>71.111307156449001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62.902030630318933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62.309738934981183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0F-4389-8226-CF8C706A16BA}"/>
            </c:ext>
          </c:extLst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Class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Sheet1!$G$3:$G$51</c:f>
              <c:numCache>
                <c:formatCode>General</c:formatCode>
                <c:ptCount val="49"/>
                <c:pt idx="0">
                  <c:v>54.748099306734332</c:v>
                </c:pt>
                <c:pt idx="1">
                  <c:v>#N/A</c:v>
                </c:pt>
                <c:pt idx="2">
                  <c:v>89.613539929083416</c:v>
                </c:pt>
                <c:pt idx="3">
                  <c:v>#N/A</c:v>
                </c:pt>
                <c:pt idx="4">
                  <c:v>79.241151949428868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66.238315634503763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62.313390809729562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81.765122820369214</c:v>
                </c:pt>
                <c:pt idx="21">
                  <c:v>63.208229319433663</c:v>
                </c:pt>
                <c:pt idx="22">
                  <c:v>65.79265390365083</c:v>
                </c:pt>
                <c:pt idx="23">
                  <c:v>54.360708793072817</c:v>
                </c:pt>
                <c:pt idx="24">
                  <c:v>#N/A</c:v>
                </c:pt>
                <c:pt idx="25">
                  <c:v>73.977527595469184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73.432155471492635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91.749840046482973</c:v>
                </c:pt>
                <c:pt idx="34">
                  <c:v>85.070574600684353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38.09647123560574</c:v>
                </c:pt>
                <c:pt idx="41">
                  <c:v>#N/A</c:v>
                </c:pt>
                <c:pt idx="42">
                  <c:v>89.889942263360567</c:v>
                </c:pt>
                <c:pt idx="43">
                  <c:v>#N/A</c:v>
                </c:pt>
                <c:pt idx="44">
                  <c:v>99.616883516156022</c:v>
                </c:pt>
                <c:pt idx="45">
                  <c:v>#N/A</c:v>
                </c:pt>
                <c:pt idx="46">
                  <c:v>55.332527914897788</c:v>
                </c:pt>
                <c:pt idx="47">
                  <c:v>52.565654884371725</c:v>
                </c:pt>
                <c:pt idx="48">
                  <c:v>62.346899129872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0F-4389-8226-CF8C706A16BA}"/>
            </c:ext>
          </c:extLst>
        </c:ser>
        <c:ser>
          <c:idx val="2"/>
          <c:order val="2"/>
          <c:tx>
            <c:strRef>
              <c:f>Sheet1!$H$2</c:f>
              <c:strCache>
                <c:ptCount val="1"/>
                <c:pt idx="0">
                  <c:v>Class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Sheet1!$H$3:$H$51</c:f>
              <c:numCache>
                <c:formatCode>General</c:formatCode>
                <c:ptCount val="49"/>
                <c:pt idx="0">
                  <c:v>#N/A</c:v>
                </c:pt>
                <c:pt idx="1">
                  <c:v>48.176982998054868</c:v>
                </c:pt>
                <c:pt idx="2">
                  <c:v>#N/A</c:v>
                </c:pt>
                <c:pt idx="3">
                  <c:v>62.348176811589937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61.704562891158886</c:v>
                </c:pt>
                <c:pt idx="8">
                  <c:v>#N/A</c:v>
                </c:pt>
                <c:pt idx="9">
                  <c:v>50.732572002684584</c:v>
                </c:pt>
                <c:pt idx="10">
                  <c:v>62.321511572227152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62.02002592124672</c:v>
                </c:pt>
                <c:pt idx="16">
                  <c:v>#N/A</c:v>
                </c:pt>
                <c:pt idx="17">
                  <c:v>#N/A</c:v>
                </c:pt>
                <c:pt idx="18">
                  <c:v>59.569651727292573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58.605466234402513</c:v>
                </c:pt>
                <c:pt idx="25">
                  <c:v>#N/A</c:v>
                </c:pt>
                <c:pt idx="26">
                  <c:v>50.374348528828961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68.710701098779467</c:v>
                </c:pt>
                <c:pt idx="33">
                  <c:v>#N/A</c:v>
                </c:pt>
                <c:pt idx="34">
                  <c:v>#N/A</c:v>
                </c:pt>
                <c:pt idx="35">
                  <c:v>71.022868869886253</c:v>
                </c:pt>
                <c:pt idx="36">
                  <c:v>78.74820603922268</c:v>
                </c:pt>
                <c:pt idx="37">
                  <c:v>66.901152790933523</c:v>
                </c:pt>
                <c:pt idx="38">
                  <c:v>79.284864151138322</c:v>
                </c:pt>
                <c:pt idx="39">
                  <c:v>#N/A</c:v>
                </c:pt>
                <c:pt idx="40">
                  <c:v>#N/A</c:v>
                </c:pt>
                <c:pt idx="41">
                  <c:v>86.528425554895762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101.88315320660718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0F-4389-8226-CF8C706A16BA}"/>
            </c:ext>
          </c:extLst>
        </c:ser>
        <c:ser>
          <c:idx val="3"/>
          <c:order val="3"/>
          <c:tx>
            <c:v>Test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Sheet1!$K$7</c:f>
              <c:numCache>
                <c:formatCode>General</c:formatCode>
                <c:ptCount val="1"/>
                <c:pt idx="0">
                  <c:v>22.85</c:v>
                </c:pt>
              </c:numCache>
            </c:numRef>
          </c:xVal>
          <c:yVal>
            <c:numRef>
              <c:f>Sheet1!$K$4</c:f>
              <c:numCache>
                <c:formatCode>General</c:formatCode>
                <c:ptCount val="1"/>
                <c:pt idx="0">
                  <c:v>73.061813698106533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0F-4389-8226-CF8C706A1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893583"/>
        <c:axId val="582535439"/>
      </c:scatterChart>
      <c:valAx>
        <c:axId val="429893583"/>
        <c:scaling>
          <c:orientation val="minMax"/>
          <c:max val="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35439"/>
        <c:crosses val="autoZero"/>
        <c:crossBetween val="midCat"/>
      </c:valAx>
      <c:valAx>
        <c:axId val="582535439"/>
        <c:scaling>
          <c:orientation val="minMax"/>
          <c:min val="3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93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Class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Sheet1!$F$3:$F$51</c:f>
              <c:numCache>
                <c:formatCode>General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64.187944830978154</c:v>
                </c:pt>
                <c:pt idx="6">
                  <c:v>60.174414029839298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83.693289377081797</c:v>
                </c:pt>
                <c:pt idx="12">
                  <c:v>76.174302255765184</c:v>
                </c:pt>
                <c:pt idx="13">
                  <c:v>74.163316536200469</c:v>
                </c:pt>
                <c:pt idx="14">
                  <c:v>#N/A</c:v>
                </c:pt>
                <c:pt idx="15">
                  <c:v>#N/A</c:v>
                </c:pt>
                <c:pt idx="16">
                  <c:v>62.889166360453181</c:v>
                </c:pt>
                <c:pt idx="17">
                  <c:v>78.216497499682504</c:v>
                </c:pt>
                <c:pt idx="18">
                  <c:v>#N/A</c:v>
                </c:pt>
                <c:pt idx="19">
                  <c:v>56.827373179079508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58.724809401522542</c:v>
                </c:pt>
                <c:pt idx="28">
                  <c:v>70.020101075816171</c:v>
                </c:pt>
                <c:pt idx="29">
                  <c:v>#N/A</c:v>
                </c:pt>
                <c:pt idx="30">
                  <c:v>41.619050102042891</c:v>
                </c:pt>
                <c:pt idx="31">
                  <c:v>71.111307156449001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62.902030630318933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62.309738934981183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B-454C-81E3-DA0F507F99B4}"/>
            </c:ext>
          </c:extLst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Class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Sheet1!$G$3:$G$51</c:f>
              <c:numCache>
                <c:formatCode>General</c:formatCode>
                <c:ptCount val="49"/>
                <c:pt idx="0">
                  <c:v>54.748099306734332</c:v>
                </c:pt>
                <c:pt idx="1">
                  <c:v>#N/A</c:v>
                </c:pt>
                <c:pt idx="2">
                  <c:v>89.613539929083416</c:v>
                </c:pt>
                <c:pt idx="3">
                  <c:v>#N/A</c:v>
                </c:pt>
                <c:pt idx="4">
                  <c:v>79.241151949428868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66.238315634503763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62.313390809729562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81.765122820369214</c:v>
                </c:pt>
                <c:pt idx="21">
                  <c:v>63.208229319433663</c:v>
                </c:pt>
                <c:pt idx="22">
                  <c:v>65.79265390365083</c:v>
                </c:pt>
                <c:pt idx="23">
                  <c:v>54.360708793072817</c:v>
                </c:pt>
                <c:pt idx="24">
                  <c:v>#N/A</c:v>
                </c:pt>
                <c:pt idx="25">
                  <c:v>73.977527595469184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73.432155471492635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91.749840046482973</c:v>
                </c:pt>
                <c:pt idx="34">
                  <c:v>85.070574600684353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38.09647123560574</c:v>
                </c:pt>
                <c:pt idx="41">
                  <c:v>#N/A</c:v>
                </c:pt>
                <c:pt idx="42">
                  <c:v>89.889942263360567</c:v>
                </c:pt>
                <c:pt idx="43">
                  <c:v>#N/A</c:v>
                </c:pt>
                <c:pt idx="44">
                  <c:v>99.616883516156022</c:v>
                </c:pt>
                <c:pt idx="45">
                  <c:v>#N/A</c:v>
                </c:pt>
                <c:pt idx="46">
                  <c:v>55.332527914897788</c:v>
                </c:pt>
                <c:pt idx="47">
                  <c:v>52.565654884371725</c:v>
                </c:pt>
                <c:pt idx="48">
                  <c:v>62.346899129872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B-454C-81E3-DA0F507F99B4}"/>
            </c:ext>
          </c:extLst>
        </c:ser>
        <c:ser>
          <c:idx val="2"/>
          <c:order val="2"/>
          <c:tx>
            <c:strRef>
              <c:f>Sheet1!$H$2</c:f>
              <c:strCache>
                <c:ptCount val="1"/>
                <c:pt idx="0">
                  <c:v>Class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Sheet1!$H$3:$H$51</c:f>
              <c:numCache>
                <c:formatCode>General</c:formatCode>
                <c:ptCount val="49"/>
                <c:pt idx="0">
                  <c:v>#N/A</c:v>
                </c:pt>
                <c:pt idx="1">
                  <c:v>48.176982998054868</c:v>
                </c:pt>
                <c:pt idx="2">
                  <c:v>#N/A</c:v>
                </c:pt>
                <c:pt idx="3">
                  <c:v>62.348176811589937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61.704562891158886</c:v>
                </c:pt>
                <c:pt idx="8">
                  <c:v>#N/A</c:v>
                </c:pt>
                <c:pt idx="9">
                  <c:v>50.732572002684584</c:v>
                </c:pt>
                <c:pt idx="10">
                  <c:v>62.321511572227152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62.02002592124672</c:v>
                </c:pt>
                <c:pt idx="16">
                  <c:v>#N/A</c:v>
                </c:pt>
                <c:pt idx="17">
                  <c:v>#N/A</c:v>
                </c:pt>
                <c:pt idx="18">
                  <c:v>59.569651727292573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58.605466234402513</c:v>
                </c:pt>
                <c:pt idx="25">
                  <c:v>#N/A</c:v>
                </c:pt>
                <c:pt idx="26">
                  <c:v>50.374348528828961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68.710701098779467</c:v>
                </c:pt>
                <c:pt idx="33">
                  <c:v>#N/A</c:v>
                </c:pt>
                <c:pt idx="34">
                  <c:v>#N/A</c:v>
                </c:pt>
                <c:pt idx="35">
                  <c:v>71.022868869886253</c:v>
                </c:pt>
                <c:pt idx="36">
                  <c:v>78.74820603922268</c:v>
                </c:pt>
                <c:pt idx="37">
                  <c:v>66.901152790933523</c:v>
                </c:pt>
                <c:pt idx="38">
                  <c:v>79.284864151138322</c:v>
                </c:pt>
                <c:pt idx="39">
                  <c:v>#N/A</c:v>
                </c:pt>
                <c:pt idx="40">
                  <c:v>#N/A</c:v>
                </c:pt>
                <c:pt idx="41">
                  <c:v>86.528425554895762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101.88315320660718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BB-454C-81E3-DA0F507F99B4}"/>
            </c:ext>
          </c:extLst>
        </c:ser>
        <c:ser>
          <c:idx val="3"/>
          <c:order val="3"/>
          <c:tx>
            <c:v>Test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Sheet1!$K$7</c:f>
              <c:numCache>
                <c:formatCode>General</c:formatCode>
                <c:ptCount val="1"/>
                <c:pt idx="0">
                  <c:v>22.85</c:v>
                </c:pt>
              </c:numCache>
            </c:numRef>
          </c:xVal>
          <c:yVal>
            <c:numRef>
              <c:f>Sheet1!$K$4</c:f>
              <c:numCache>
                <c:formatCode>General</c:formatCode>
                <c:ptCount val="1"/>
                <c:pt idx="0">
                  <c:v>73.061813698106533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BB-454C-81E3-DA0F507F9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544575"/>
        <c:axId val="219883983"/>
      </c:scatterChart>
      <c:valAx>
        <c:axId val="483544575"/>
        <c:scaling>
          <c:orientation val="minMax"/>
          <c:max val="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883983"/>
        <c:crosses val="autoZero"/>
        <c:crossBetween val="midCat"/>
      </c:valAx>
      <c:valAx>
        <c:axId val="219883983"/>
        <c:scaling>
          <c:orientation val="minMax"/>
          <c:min val="3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544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Sheet3!$G$1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Sheet3!$F$2:$F$51</c:f>
              <c:strCache>
                <c:ptCount val="50"/>
                <c:pt idx="0">
                  <c:v>N Time</c:v>
                </c:pt>
                <c:pt idx="1">
                  <c:v>0</c:v>
                </c:pt>
                <c:pt idx="2">
                  <c:v>0.304123711</c:v>
                </c:pt>
                <c:pt idx="3">
                  <c:v>0.916053019</c:v>
                </c:pt>
                <c:pt idx="4">
                  <c:v>0.350515464</c:v>
                </c:pt>
                <c:pt idx="5">
                  <c:v>0.220913108</c:v>
                </c:pt>
                <c:pt idx="6">
                  <c:v>0.813696613</c:v>
                </c:pt>
                <c:pt idx="7">
                  <c:v>0.654639175</c:v>
                </c:pt>
                <c:pt idx="8">
                  <c:v>0.898379971</c:v>
                </c:pt>
                <c:pt idx="9">
                  <c:v>0.793814433</c:v>
                </c:pt>
                <c:pt idx="10">
                  <c:v>0.808541973</c:v>
                </c:pt>
                <c:pt idx="11">
                  <c:v>0.043446244</c:v>
                </c:pt>
                <c:pt idx="12">
                  <c:v>0.361561119</c:v>
                </c:pt>
                <c:pt idx="13">
                  <c:v>0.549337261</c:v>
                </c:pt>
                <c:pt idx="14">
                  <c:v>0.288659794</c:v>
                </c:pt>
                <c:pt idx="15">
                  <c:v>0.394698085</c:v>
                </c:pt>
                <c:pt idx="16">
                  <c:v>0.006627393</c:v>
                </c:pt>
                <c:pt idx="17">
                  <c:v>0.4455081</c:v>
                </c:pt>
                <c:pt idx="18">
                  <c:v>0.761413844</c:v>
                </c:pt>
                <c:pt idx="19">
                  <c:v>0.72533137</c:v>
                </c:pt>
                <c:pt idx="20">
                  <c:v>0.981590574</c:v>
                </c:pt>
                <c:pt idx="21">
                  <c:v>0.4455081</c:v>
                </c:pt>
                <c:pt idx="22">
                  <c:v>0.231958763</c:v>
                </c:pt>
                <c:pt idx="23">
                  <c:v>0.4455081</c:v>
                </c:pt>
                <c:pt idx="24">
                  <c:v>0.793814433</c:v>
                </c:pt>
                <c:pt idx="25">
                  <c:v>0.826951399</c:v>
                </c:pt>
                <c:pt idx="26">
                  <c:v>0.223122239</c:v>
                </c:pt>
                <c:pt idx="27">
                  <c:v>0.854933726</c:v>
                </c:pt>
                <c:pt idx="28">
                  <c:v>1</c:v>
                </c:pt>
                <c:pt idx="29">
                  <c:v>0.441089838</c:v>
                </c:pt>
                <c:pt idx="30">
                  <c:v>0.75994109</c:v>
                </c:pt>
                <c:pt idx="31">
                  <c:v>0.223122239</c:v>
                </c:pt>
                <c:pt idx="32">
                  <c:v>0.998527246</c:v>
                </c:pt>
                <c:pt idx="33">
                  <c:v>0.770986745</c:v>
                </c:pt>
                <c:pt idx="34">
                  <c:v>0.023564065</c:v>
                </c:pt>
                <c:pt idx="35">
                  <c:v>0.249631811</c:v>
                </c:pt>
                <c:pt idx="36">
                  <c:v>0.126656848</c:v>
                </c:pt>
                <c:pt idx="37">
                  <c:v>0.371134021</c:v>
                </c:pt>
                <c:pt idx="38">
                  <c:v>0.568483063</c:v>
                </c:pt>
                <c:pt idx="39">
                  <c:v>0.497790869</c:v>
                </c:pt>
                <c:pt idx="40">
                  <c:v>0.847569956</c:v>
                </c:pt>
                <c:pt idx="41">
                  <c:v>0.181885125</c:v>
                </c:pt>
                <c:pt idx="42">
                  <c:v>0.165684831</c:v>
                </c:pt>
                <c:pt idx="43">
                  <c:v>0.265095729</c:v>
                </c:pt>
                <c:pt idx="44">
                  <c:v>0.826951399</c:v>
                </c:pt>
                <c:pt idx="45">
                  <c:v>0.107511046</c:v>
                </c:pt>
                <c:pt idx="46">
                  <c:v>0.438880707</c:v>
                </c:pt>
                <c:pt idx="47">
                  <c:v>0.502209131</c:v>
                </c:pt>
                <c:pt idx="48">
                  <c:v>0.145802651</c:v>
                </c:pt>
                <c:pt idx="49">
                  <c:v>0.372606775</c:v>
                </c:pt>
              </c:strCache>
            </c:strRef>
          </c:xVal>
          <c:yVal>
            <c:numRef>
              <c:f>Sheet3!$G$2:$G$51</c:f>
              <c:numCache>
                <c:formatCode>General</c:formatCode>
                <c:ptCount val="50"/>
                <c:pt idx="0">
                  <c:v>0</c:v>
                </c:pt>
                <c:pt idx="1">
                  <c:v>0.3098964263318093</c:v>
                </c:pt>
                <c:pt idx="2">
                  <c:v>0.25505035587402863</c:v>
                </c:pt>
                <c:pt idx="3">
                  <c:v>0.53423973739288977</c:v>
                </c:pt>
                <c:pt idx="4">
                  <c:v>0.83320427710972278</c:v>
                </c:pt>
                <c:pt idx="5">
                  <c:v>8.8441599210021649E-2</c:v>
                </c:pt>
                <c:pt idx="6">
                  <c:v>0.17562176264990986</c:v>
                </c:pt>
                <c:pt idx="7">
                  <c:v>0.51339267829722268</c:v>
                </c:pt>
                <c:pt idx="8">
                  <c:v>0.50329514226555983</c:v>
                </c:pt>
                <c:pt idx="9">
                  <c:v>0.29390016732428481</c:v>
                </c:pt>
                <c:pt idx="10">
                  <c:v>0.67358260796950131</c:v>
                </c:pt>
                <c:pt idx="11">
                  <c:v>0.61095178603980216</c:v>
                </c:pt>
                <c:pt idx="12">
                  <c:v>0.68602099255731286</c:v>
                </c:pt>
                <c:pt idx="13">
                  <c:v>0.54430834161222308</c:v>
                </c:pt>
                <c:pt idx="14">
                  <c:v>0.20904117174836134</c:v>
                </c:pt>
                <c:pt idx="15">
                  <c:v>0.92519345974153799</c:v>
                </c:pt>
                <c:pt idx="16">
                  <c:v>0.39907279497372167</c:v>
                </c:pt>
                <c:pt idx="17">
                  <c:v>0.292752773570015</c:v>
                </c:pt>
                <c:pt idx="18">
                  <c:v>0.47444028025946744</c:v>
                </c:pt>
                <c:pt idx="19">
                  <c:v>0.66016356084528416</c:v>
                </c:pt>
                <c:pt idx="20">
                  <c:v>0.23730227099035717</c:v>
                </c:pt>
                <c:pt idx="21">
                  <c:v>0.54790799860033335</c:v>
                </c:pt>
                <c:pt idx="22">
                  <c:v>0.17239475513794555</c:v>
                </c:pt>
                <c:pt idx="23">
                  <c:v>0.49507860234941359</c:v>
                </c:pt>
                <c:pt idx="24">
                  <c:v>0.48291710895929807</c:v>
                </c:pt>
                <c:pt idx="25">
                  <c:v>0.80575061492251487</c:v>
                </c:pt>
                <c:pt idx="26">
                  <c:v>0.62748077685395798</c:v>
                </c:pt>
                <c:pt idx="27">
                  <c:v>8.8692856728011069E-2</c:v>
                </c:pt>
                <c:pt idx="28">
                  <c:v>0.13526260605846721</c:v>
                </c:pt>
                <c:pt idx="29">
                  <c:v>0.41715397287555273</c:v>
                </c:pt>
                <c:pt idx="30">
                  <c:v>0.35339273500573537</c:v>
                </c:pt>
                <c:pt idx="31">
                  <c:v>0.46732196457773145</c:v>
                </c:pt>
                <c:pt idx="32">
                  <c:v>1</c:v>
                </c:pt>
                <c:pt idx="33">
                  <c:v>0.46689683507684027</c:v>
                </c:pt>
                <c:pt idx="34">
                  <c:v>0.7019181513180871</c:v>
                </c:pt>
                <c:pt idx="35">
                  <c:v>0.65839788201105842</c:v>
                </c:pt>
                <c:pt idx="36">
                  <c:v>0.18128298125046985</c:v>
                </c:pt>
                <c:pt idx="37">
                  <c:v>0.49244191625594802</c:v>
                </c:pt>
                <c:pt idx="38">
                  <c:v>0.64503048004146524</c:v>
                </c:pt>
                <c:pt idx="39">
                  <c:v>0.60084342586392125</c:v>
                </c:pt>
                <c:pt idx="40">
                  <c:v>0.81398573472319913</c:v>
                </c:pt>
                <c:pt idx="41">
                  <c:v>0</c:v>
                </c:pt>
                <c:pt idx="42">
                  <c:v>0.66712570074325106</c:v>
                </c:pt>
                <c:pt idx="43">
                  <c:v>0.68067115866344463</c:v>
                </c:pt>
                <c:pt idx="44">
                  <c:v>0.3576373882237972</c:v>
                </c:pt>
                <c:pt idx="45">
                  <c:v>0.61708182569489678</c:v>
                </c:pt>
                <c:pt idx="46">
                  <c:v>0.47918990644766613</c:v>
                </c:pt>
                <c:pt idx="47">
                  <c:v>0.65195367138690075</c:v>
                </c:pt>
                <c:pt idx="48">
                  <c:v>0.50844300264401499</c:v>
                </c:pt>
                <c:pt idx="49">
                  <c:v>0.47594860980604931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4-409E-BB40-46757609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42896"/>
        <c:axId val="1102802784"/>
      </c:scatterChart>
      <c:valAx>
        <c:axId val="100664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802784"/>
        <c:crosses val="autoZero"/>
        <c:crossBetween val="midCat"/>
      </c:valAx>
      <c:valAx>
        <c:axId val="11028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4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Sheet1!$F$2</c:f>
              <c:strCache>
                <c:ptCount val="1"/>
                <c:pt idx="0">
                  <c:v>Class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Sheet1!$F$3:$F$51</c:f>
              <c:numCache>
                <c:formatCode>General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64.187944830978154</c:v>
                </c:pt>
                <c:pt idx="6">
                  <c:v>60.174414029839298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83.693289377081797</c:v>
                </c:pt>
                <c:pt idx="12">
                  <c:v>76.174302255765184</c:v>
                </c:pt>
                <c:pt idx="13">
                  <c:v>74.163316536200469</c:v>
                </c:pt>
                <c:pt idx="14">
                  <c:v>#N/A</c:v>
                </c:pt>
                <c:pt idx="15">
                  <c:v>#N/A</c:v>
                </c:pt>
                <c:pt idx="16">
                  <c:v>62.889166360453181</c:v>
                </c:pt>
                <c:pt idx="17">
                  <c:v>78.216497499682504</c:v>
                </c:pt>
                <c:pt idx="18">
                  <c:v>#N/A</c:v>
                </c:pt>
                <c:pt idx="19">
                  <c:v>56.827373179079508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58.724809401522542</c:v>
                </c:pt>
                <c:pt idx="28">
                  <c:v>70.020101075816171</c:v>
                </c:pt>
                <c:pt idx="29">
                  <c:v>#N/A</c:v>
                </c:pt>
                <c:pt idx="30">
                  <c:v>41.619050102042891</c:v>
                </c:pt>
                <c:pt idx="31">
                  <c:v>71.111307156449001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62.902030630318933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62.309738934981183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81-4661-AE70-0ABB51F9A93E}"/>
            </c:ext>
          </c:extLst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Class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Sheet1!$G$3:$G$51</c:f>
              <c:numCache>
                <c:formatCode>General</c:formatCode>
                <c:ptCount val="49"/>
                <c:pt idx="0">
                  <c:v>54.748099306734332</c:v>
                </c:pt>
                <c:pt idx="1">
                  <c:v>#N/A</c:v>
                </c:pt>
                <c:pt idx="2">
                  <c:v>89.613539929083416</c:v>
                </c:pt>
                <c:pt idx="3">
                  <c:v>#N/A</c:v>
                </c:pt>
                <c:pt idx="4">
                  <c:v>79.241151949428868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66.238315634503763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62.313390809729562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81.765122820369214</c:v>
                </c:pt>
                <c:pt idx="21">
                  <c:v>63.208229319433663</c:v>
                </c:pt>
                <c:pt idx="22">
                  <c:v>65.79265390365083</c:v>
                </c:pt>
                <c:pt idx="23">
                  <c:v>54.360708793072817</c:v>
                </c:pt>
                <c:pt idx="24">
                  <c:v>#N/A</c:v>
                </c:pt>
                <c:pt idx="25">
                  <c:v>73.977527595469184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73.432155471492635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91.749840046482973</c:v>
                </c:pt>
                <c:pt idx="34">
                  <c:v>85.070574600684353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38.09647123560574</c:v>
                </c:pt>
                <c:pt idx="41">
                  <c:v>#N/A</c:v>
                </c:pt>
                <c:pt idx="42">
                  <c:v>89.889942263360567</c:v>
                </c:pt>
                <c:pt idx="43">
                  <c:v>#N/A</c:v>
                </c:pt>
                <c:pt idx="44">
                  <c:v>99.616883516156022</c:v>
                </c:pt>
                <c:pt idx="45">
                  <c:v>#N/A</c:v>
                </c:pt>
                <c:pt idx="46">
                  <c:v>55.332527914897788</c:v>
                </c:pt>
                <c:pt idx="47">
                  <c:v>52.565654884371725</c:v>
                </c:pt>
                <c:pt idx="48">
                  <c:v>62.346899129872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1-4661-AE70-0ABB51F9A93E}"/>
            </c:ext>
          </c:extLst>
        </c:ser>
        <c:ser>
          <c:idx val="2"/>
          <c:order val="2"/>
          <c:tx>
            <c:strRef>
              <c:f>Sheet1!$H$2</c:f>
              <c:strCache>
                <c:ptCount val="1"/>
                <c:pt idx="0">
                  <c:v>Class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Sheet1!$E$3:$E$51</c:f>
              <c:numCache>
                <c:formatCode>General</c:formatCode>
                <c:ptCount val="49"/>
                <c:pt idx="0">
                  <c:v>5.0999999999999996</c:v>
                </c:pt>
                <c:pt idx="1">
                  <c:v>22.7</c:v>
                </c:pt>
                <c:pt idx="2">
                  <c:v>11.833333333333332</c:v>
                </c:pt>
                <c:pt idx="3">
                  <c:v>20.95</c:v>
                </c:pt>
                <c:pt idx="4">
                  <c:v>12.683333333333334</c:v>
                </c:pt>
                <c:pt idx="5">
                  <c:v>4.0999999999999996</c:v>
                </c:pt>
                <c:pt idx="6">
                  <c:v>2.3000000000000007</c:v>
                </c:pt>
                <c:pt idx="7">
                  <c:v>18.016666666666666</c:v>
                </c:pt>
                <c:pt idx="8">
                  <c:v>17.033333333333335</c:v>
                </c:pt>
                <c:pt idx="9">
                  <c:v>16.616666666666667</c:v>
                </c:pt>
                <c:pt idx="10">
                  <c:v>17.8</c:v>
                </c:pt>
                <c:pt idx="11">
                  <c:v>1.6166666666666671</c:v>
                </c:pt>
                <c:pt idx="12">
                  <c:v>9.8666666666666671</c:v>
                </c:pt>
                <c:pt idx="13">
                  <c:v>10.45</c:v>
                </c:pt>
                <c:pt idx="14">
                  <c:v>17.766666666666666</c:v>
                </c:pt>
                <c:pt idx="15">
                  <c:v>22.95</c:v>
                </c:pt>
                <c:pt idx="16">
                  <c:v>9.6</c:v>
                </c:pt>
                <c:pt idx="17">
                  <c:v>9.6</c:v>
                </c:pt>
                <c:pt idx="18">
                  <c:v>21.916666666666668</c:v>
                </c:pt>
                <c:pt idx="19">
                  <c:v>1.8833333333333329</c:v>
                </c:pt>
                <c:pt idx="20">
                  <c:v>3.5666666666666664</c:v>
                </c:pt>
                <c:pt idx="21">
                  <c:v>14.850000000000001</c:v>
                </c:pt>
                <c:pt idx="22">
                  <c:v>15.5</c:v>
                </c:pt>
                <c:pt idx="23">
                  <c:v>15.149999999999999</c:v>
                </c:pt>
                <c:pt idx="24">
                  <c:v>17.033333333333335</c:v>
                </c:pt>
                <c:pt idx="25">
                  <c:v>1.5</c:v>
                </c:pt>
                <c:pt idx="26">
                  <c:v>16.266666666666666</c:v>
                </c:pt>
                <c:pt idx="27">
                  <c:v>6.8000000000000007</c:v>
                </c:pt>
                <c:pt idx="28">
                  <c:v>9.65</c:v>
                </c:pt>
                <c:pt idx="29">
                  <c:v>11.600000000000001</c:v>
                </c:pt>
                <c:pt idx="30">
                  <c:v>0.40000000000000036</c:v>
                </c:pt>
                <c:pt idx="31">
                  <c:v>12.5</c:v>
                </c:pt>
                <c:pt idx="32">
                  <c:v>19.216666666666669</c:v>
                </c:pt>
                <c:pt idx="33">
                  <c:v>1.5333333333333332</c:v>
                </c:pt>
                <c:pt idx="34">
                  <c:v>11.333333333333332</c:v>
                </c:pt>
                <c:pt idx="35">
                  <c:v>22.866666666666667</c:v>
                </c:pt>
                <c:pt idx="36">
                  <c:v>21.65</c:v>
                </c:pt>
                <c:pt idx="37">
                  <c:v>23.7</c:v>
                </c:pt>
                <c:pt idx="38">
                  <c:v>19.916666666666664</c:v>
                </c:pt>
                <c:pt idx="39">
                  <c:v>9.1833333333333336</c:v>
                </c:pt>
                <c:pt idx="40">
                  <c:v>14.2</c:v>
                </c:pt>
                <c:pt idx="41">
                  <c:v>17.75</c:v>
                </c:pt>
                <c:pt idx="42">
                  <c:v>9.85</c:v>
                </c:pt>
                <c:pt idx="43">
                  <c:v>2.5666666666666664</c:v>
                </c:pt>
                <c:pt idx="44">
                  <c:v>5.1166666666666671</c:v>
                </c:pt>
                <c:pt idx="45">
                  <c:v>23.916666666666668</c:v>
                </c:pt>
                <c:pt idx="46">
                  <c:v>17.183333333333334</c:v>
                </c:pt>
                <c:pt idx="47">
                  <c:v>21.116666666666667</c:v>
                </c:pt>
                <c:pt idx="48">
                  <c:v>10.883333333333333</c:v>
                </c:pt>
              </c:numCache>
            </c:numRef>
          </c:xVal>
          <c:yVal>
            <c:numRef>
              <c:f>Sheet1!$H$3:$H$51</c:f>
              <c:numCache>
                <c:formatCode>General</c:formatCode>
                <c:ptCount val="49"/>
                <c:pt idx="0">
                  <c:v>#N/A</c:v>
                </c:pt>
                <c:pt idx="1">
                  <c:v>48.176982998054868</c:v>
                </c:pt>
                <c:pt idx="2">
                  <c:v>#N/A</c:v>
                </c:pt>
                <c:pt idx="3">
                  <c:v>62.348176811589937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61.704562891158886</c:v>
                </c:pt>
                <c:pt idx="8">
                  <c:v>#N/A</c:v>
                </c:pt>
                <c:pt idx="9">
                  <c:v>50.732572002684584</c:v>
                </c:pt>
                <c:pt idx="10">
                  <c:v>62.321511572227152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62.02002592124672</c:v>
                </c:pt>
                <c:pt idx="16">
                  <c:v>#N/A</c:v>
                </c:pt>
                <c:pt idx="17">
                  <c:v>#N/A</c:v>
                </c:pt>
                <c:pt idx="18">
                  <c:v>59.569651727292573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58.605466234402513</c:v>
                </c:pt>
                <c:pt idx="25">
                  <c:v>#N/A</c:v>
                </c:pt>
                <c:pt idx="26">
                  <c:v>50.374348528828961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68.710701098779467</c:v>
                </c:pt>
                <c:pt idx="33">
                  <c:v>#N/A</c:v>
                </c:pt>
                <c:pt idx="34">
                  <c:v>#N/A</c:v>
                </c:pt>
                <c:pt idx="35">
                  <c:v>71.022868869886253</c:v>
                </c:pt>
                <c:pt idx="36">
                  <c:v>78.74820603922268</c:v>
                </c:pt>
                <c:pt idx="37">
                  <c:v>66.901152790933523</c:v>
                </c:pt>
                <c:pt idx="38">
                  <c:v>79.284864151138322</c:v>
                </c:pt>
                <c:pt idx="39">
                  <c:v>#N/A</c:v>
                </c:pt>
                <c:pt idx="40">
                  <c:v>#N/A</c:v>
                </c:pt>
                <c:pt idx="41">
                  <c:v>86.528425554895762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101.88315320660718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81-4661-AE70-0ABB51F9A93E}"/>
            </c:ext>
          </c:extLst>
        </c:ser>
        <c:ser>
          <c:idx val="3"/>
          <c:order val="3"/>
          <c:tx>
            <c:v>Test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Sheet1!$K$7</c:f>
              <c:numCache>
                <c:formatCode>General</c:formatCode>
                <c:ptCount val="1"/>
                <c:pt idx="0">
                  <c:v>22.85</c:v>
                </c:pt>
              </c:numCache>
            </c:numRef>
          </c:xVal>
          <c:yVal>
            <c:numRef>
              <c:f>Sheet1!$K$4</c:f>
              <c:numCache>
                <c:formatCode>General</c:formatCode>
                <c:ptCount val="1"/>
                <c:pt idx="0">
                  <c:v>73.061813698106533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1-4661-AE70-0ABB51F9A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861999"/>
        <c:axId val="334293871"/>
      </c:scatterChart>
      <c:valAx>
        <c:axId val="329861999"/>
        <c:scaling>
          <c:orientation val="minMax"/>
          <c:max val="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293871"/>
        <c:crosses val="autoZero"/>
        <c:crossBetween val="midCat"/>
      </c:valAx>
      <c:valAx>
        <c:axId val="334293871"/>
        <c:scaling>
          <c:orientation val="minMax"/>
          <c:min val="3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6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205740</xdr:colOff>
      <xdr:row>12</xdr:row>
      <xdr:rowOff>144780</xdr:rowOff>
    </xdr:from>
    <xdr:to>
      <xdr:col>29</xdr:col>
      <xdr:colOff>91440</xdr:colOff>
      <xdr:row>36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101E6B-E4C5-4F84-A322-1031AB90B6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396240</xdr:colOff>
      <xdr:row>13</xdr:row>
      <xdr:rowOff>30480</xdr:rowOff>
    </xdr:from>
    <xdr:to>
      <xdr:col>29</xdr:col>
      <xdr:colOff>533400</xdr:colOff>
      <xdr:row>37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81CB72-10E9-4632-BAC4-5D1694D826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441960</xdr:colOff>
      <xdr:row>10</xdr:row>
      <xdr:rowOff>99060</xdr:rowOff>
    </xdr:from>
    <xdr:to>
      <xdr:col>16</xdr:col>
      <xdr:colOff>312420</xdr:colOff>
      <xdr:row>25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ADDB42-F404-4E75-9D99-A0149AFA4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13</xdr:row>
      <xdr:rowOff>30480</xdr:rowOff>
    </xdr:from>
    <xdr:to>
      <xdr:col>29</xdr:col>
      <xdr:colOff>289560</xdr:colOff>
      <xdr:row>37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5FFBBB-F575-47B5-9A39-29E42171C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03F5-E06C-4385-B25C-DECD7C6DAA47}">
  <sheetPr codeName="Sheet1"/>
  <dimension ref="A1:X51"/>
  <sheetViews>
    <sheetView workbookViewId="0">
      <selection activeCell="A2" sqref="A1:C1048576"/>
    </sheetView>
  </sheetViews>
  <sheetFormatPr defaultRowHeight="14.4" x14ac:dyDescent="0.3"/>
  <cols>
    <col min="3" max="3" width="12.44140625" bestFit="1" customWidth="1"/>
    <col min="9" max="9" width="2.88671875" style="1" customWidth="1"/>
    <col min="12" max="12" width="3.44140625" style="1" customWidth="1"/>
    <col min="16" max="16" width="3.6640625" style="1" customWidth="1"/>
    <col min="19" max="19" width="3.33203125" style="1" customWidth="1"/>
    <col min="22" max="22" width="4.21875" style="1" customWidth="1"/>
  </cols>
  <sheetData>
    <row r="1" spans="1:24" s="12" customFormat="1" x14ac:dyDescent="0.3">
      <c r="A1" s="24" t="s">
        <v>0</v>
      </c>
      <c r="B1" s="24"/>
      <c r="C1" s="24"/>
      <c r="D1" s="24"/>
      <c r="E1" s="24"/>
      <c r="F1" s="24"/>
      <c r="G1" s="24"/>
      <c r="H1" s="24"/>
      <c r="I1" s="2"/>
      <c r="J1" s="24" t="s">
        <v>58</v>
      </c>
      <c r="K1" s="24"/>
      <c r="L1" s="2"/>
      <c r="M1" s="24" t="s">
        <v>119</v>
      </c>
      <c r="N1" s="24"/>
      <c r="O1" s="24"/>
      <c r="P1" s="2"/>
      <c r="Q1" s="24" t="s">
        <v>62</v>
      </c>
      <c r="R1" s="24"/>
      <c r="S1" s="2"/>
      <c r="T1" s="24" t="s">
        <v>65</v>
      </c>
      <c r="U1" s="24"/>
      <c r="V1" s="2" t="s">
        <v>68</v>
      </c>
      <c r="W1" s="24" t="s">
        <v>67</v>
      </c>
      <c r="X1" s="24"/>
    </row>
    <row r="2" spans="1:24" s="12" customFormat="1" x14ac:dyDescent="0.3">
      <c r="A2" s="5" t="s">
        <v>1</v>
      </c>
      <c r="B2" s="5" t="s">
        <v>2</v>
      </c>
      <c r="C2" s="5" t="s">
        <v>3</v>
      </c>
      <c r="D2" s="5" t="s">
        <v>56</v>
      </c>
      <c r="E2" s="5" t="s">
        <v>57</v>
      </c>
      <c r="F2" s="5" t="s">
        <v>12</v>
      </c>
      <c r="G2" s="5" t="s">
        <v>5</v>
      </c>
      <c r="H2" s="5" t="s">
        <v>7</v>
      </c>
      <c r="I2" s="2"/>
      <c r="J2" s="5"/>
      <c r="K2" s="5"/>
      <c r="L2" s="2"/>
      <c r="M2" s="5" t="s">
        <v>59</v>
      </c>
      <c r="N2" s="5" t="s">
        <v>60</v>
      </c>
      <c r="O2" s="5" t="s">
        <v>61</v>
      </c>
      <c r="P2" s="2"/>
      <c r="Q2" s="5" t="s">
        <v>63</v>
      </c>
      <c r="R2" s="5" t="s">
        <v>61</v>
      </c>
      <c r="S2" s="2"/>
      <c r="T2" s="5" t="s">
        <v>66</v>
      </c>
      <c r="U2" s="5" t="s">
        <v>61</v>
      </c>
      <c r="V2" s="2"/>
      <c r="W2" s="5" t="s">
        <v>66</v>
      </c>
      <c r="X2" s="5" t="s">
        <v>61</v>
      </c>
    </row>
    <row r="3" spans="1:24" x14ac:dyDescent="0.3">
      <c r="A3" s="6" t="s">
        <v>4</v>
      </c>
      <c r="B3" s="6">
        <v>54.748099306734332</v>
      </c>
      <c r="C3" s="6" t="s">
        <v>5</v>
      </c>
      <c r="D3" s="6">
        <f>HOUR(A3)+MINUTE(A3)/60 - 6</f>
        <v>5.0999999999999996</v>
      </c>
      <c r="E3" s="6">
        <f>IF(D3&lt;0,D3+24,D3)</f>
        <v>5.0999999999999996</v>
      </c>
      <c r="F3" s="6" t="e">
        <f>IF($F$2=C3,B3,NA())</f>
        <v>#N/A</v>
      </c>
      <c r="G3" s="6">
        <f>IF($G$2=C3,B3,NA())</f>
        <v>54.748099306734332</v>
      </c>
      <c r="H3" s="6" t="e">
        <f>IF($H$2=C3,B3,NA())</f>
        <v>#N/A</v>
      </c>
      <c r="J3" s="8" t="s">
        <v>1</v>
      </c>
      <c r="K3" s="7" t="str">
        <f ca="1">TEXT(RAND(),"HH:MM:SS")</f>
        <v>04:51:04</v>
      </c>
      <c r="M3" s="9">
        <f ca="1">RANK(N3,$N$3:$N$51)</f>
        <v>7</v>
      </c>
      <c r="N3" s="9">
        <f ca="1">SQRT(($K$4-B3)^2+($K$7-E3)^2)</f>
        <v>25.504012131599087</v>
      </c>
      <c r="O3" s="9" t="str">
        <f>C3</f>
        <v>Class 2</v>
      </c>
      <c r="Q3" s="10">
        <v>1</v>
      </c>
      <c r="R3" s="10" t="str">
        <f ca="1">VLOOKUP(Q3,$M$3:$O$51,3,FALSE)</f>
        <v>Class 1</v>
      </c>
      <c r="T3" s="10">
        <v>1</v>
      </c>
      <c r="U3" s="10" t="str">
        <f ca="1">VLOOKUP(T3,$M$3:$O$51,3,FALSE)</f>
        <v>Class 1</v>
      </c>
      <c r="W3" s="10">
        <v>1</v>
      </c>
      <c r="X3" s="10" t="str">
        <f ca="1">VLOOKUP(W3,$M$3:$O$51,3,FALSE)</f>
        <v>Class 1</v>
      </c>
    </row>
    <row r="4" spans="1:24" x14ac:dyDescent="0.3">
      <c r="A4" s="6" t="s">
        <v>6</v>
      </c>
      <c r="B4" s="6">
        <v>48.176982998054868</v>
      </c>
      <c r="C4" s="6" t="s">
        <v>7</v>
      </c>
      <c r="D4" s="6">
        <f t="shared" ref="D4:D51" si="0">HOUR(A4)+MINUTE(A4)/60 - 6</f>
        <v>-1.2999999999999998</v>
      </c>
      <c r="E4" s="6">
        <f t="shared" ref="E4:E51" si="1">IF(D4&lt;0,D4+24,D4)</f>
        <v>22.7</v>
      </c>
      <c r="F4" s="6" t="e">
        <f t="shared" ref="F4:F51" si="2">IF($F$2=C4,B4,NA())</f>
        <v>#N/A</v>
      </c>
      <c r="G4" s="6" t="e">
        <f t="shared" ref="G4:G51" si="3">IF($G$2=C4,B4,NA())</f>
        <v>#N/A</v>
      </c>
      <c r="H4" s="6">
        <f t="shared" ref="H4:H51" si="4">IF($H$2=C4,B4,NA())</f>
        <v>48.176982998054868</v>
      </c>
      <c r="J4" s="8" t="s">
        <v>2</v>
      </c>
      <c r="K4" s="7">
        <f ca="1">NORMINV(RAND(),65,15)</f>
        <v>73.061813698106533</v>
      </c>
      <c r="M4" s="9">
        <f t="shared" ref="M4:M51" ca="1" si="5">RANK(N4,$N$3:$N$51)</f>
        <v>8</v>
      </c>
      <c r="N4" s="9">
        <f t="shared" ref="N4:N51" ca="1" si="6">SQRT(($K$4-B4)^2+($K$7-E4)^2)</f>
        <v>24.885282778586902</v>
      </c>
      <c r="O4" s="9" t="str">
        <f t="shared" ref="O4:O51" si="7">C4</f>
        <v>Class 3</v>
      </c>
      <c r="Q4" s="10">
        <v>2</v>
      </c>
      <c r="R4" s="10" t="str">
        <f t="shared" ref="R4:R5" ca="1" si="8">VLOOKUP(Q4,$M$3:$O$51,3,FALSE)</f>
        <v>Class 2</v>
      </c>
      <c r="T4" s="10">
        <v>2</v>
      </c>
      <c r="U4" s="10" t="str">
        <f t="shared" ref="U4:U7" ca="1" si="9">VLOOKUP(T4,$M$3:$O$51,3,FALSE)</f>
        <v>Class 2</v>
      </c>
      <c r="W4" s="10">
        <v>2</v>
      </c>
      <c r="X4" s="10" t="str">
        <f t="shared" ref="X4:X9" ca="1" si="10">VLOOKUP(W4,$M$3:$O$51,3,FALSE)</f>
        <v>Class 2</v>
      </c>
    </row>
    <row r="5" spans="1:24" x14ac:dyDescent="0.3">
      <c r="A5" s="6" t="s">
        <v>8</v>
      </c>
      <c r="B5" s="6">
        <v>89.613539929083416</v>
      </c>
      <c r="C5" s="6" t="s">
        <v>5</v>
      </c>
      <c r="D5" s="6">
        <f t="shared" si="0"/>
        <v>11.833333333333332</v>
      </c>
      <c r="E5" s="6">
        <f t="shared" si="1"/>
        <v>11.833333333333332</v>
      </c>
      <c r="F5" s="6" t="e">
        <f t="shared" si="2"/>
        <v>#N/A</v>
      </c>
      <c r="G5" s="6">
        <f t="shared" si="3"/>
        <v>89.613539929083416</v>
      </c>
      <c r="H5" s="6" t="e">
        <f t="shared" si="4"/>
        <v>#N/A</v>
      </c>
      <c r="M5" s="9">
        <f t="shared" ca="1" si="5"/>
        <v>21</v>
      </c>
      <c r="N5" s="9">
        <f t="shared" ca="1" si="6"/>
        <v>19.882821370963747</v>
      </c>
      <c r="O5" s="9" t="str">
        <f t="shared" si="7"/>
        <v>Class 2</v>
      </c>
      <c r="Q5" s="10">
        <v>3</v>
      </c>
      <c r="R5" s="10" t="str">
        <f t="shared" ca="1" si="8"/>
        <v>Class 2</v>
      </c>
      <c r="T5" s="10">
        <v>3</v>
      </c>
      <c r="U5" s="10" t="str">
        <f t="shared" ca="1" si="9"/>
        <v>Class 2</v>
      </c>
      <c r="W5" s="10">
        <v>3</v>
      </c>
      <c r="X5" s="10" t="str">
        <f t="shared" ca="1" si="10"/>
        <v>Class 2</v>
      </c>
    </row>
    <row r="6" spans="1:24" x14ac:dyDescent="0.3">
      <c r="A6" s="6" t="s">
        <v>9</v>
      </c>
      <c r="B6" s="6">
        <v>62.348176811589937</v>
      </c>
      <c r="C6" s="6" t="s">
        <v>7</v>
      </c>
      <c r="D6" s="6">
        <f t="shared" si="0"/>
        <v>-3.05</v>
      </c>
      <c r="E6" s="6">
        <f t="shared" si="1"/>
        <v>20.95</v>
      </c>
      <c r="F6" s="6" t="e">
        <f t="shared" si="2"/>
        <v>#N/A</v>
      </c>
      <c r="G6" s="6" t="e">
        <f t="shared" si="3"/>
        <v>#N/A</v>
      </c>
      <c r="H6" s="6">
        <f t="shared" si="4"/>
        <v>62.348176811589937</v>
      </c>
      <c r="J6" s="8" t="s">
        <v>56</v>
      </c>
      <c r="K6" s="7">
        <f ca="1">HOUR(K3)+MINUTE(K3)/60 - 6</f>
        <v>-1.1500000000000004</v>
      </c>
      <c r="M6" s="9">
        <f t="shared" ca="1" si="5"/>
        <v>41</v>
      </c>
      <c r="N6" s="9">
        <f t="shared" ca="1" si="6"/>
        <v>10.880809498200446</v>
      </c>
      <c r="O6" s="9" t="str">
        <f t="shared" si="7"/>
        <v>Class 3</v>
      </c>
      <c r="T6" s="10">
        <v>4</v>
      </c>
      <c r="U6" s="10" t="str">
        <f t="shared" ca="1" si="9"/>
        <v>Class 3</v>
      </c>
      <c r="W6" s="10">
        <v>4</v>
      </c>
      <c r="X6" s="10" t="str">
        <f t="shared" ca="1" si="10"/>
        <v>Class 3</v>
      </c>
    </row>
    <row r="7" spans="1:24" x14ac:dyDescent="0.3">
      <c r="A7" s="6" t="s">
        <v>10</v>
      </c>
      <c r="B7" s="6">
        <v>79.241151949428868</v>
      </c>
      <c r="C7" s="6" t="s">
        <v>5</v>
      </c>
      <c r="D7" s="6">
        <f t="shared" si="0"/>
        <v>12.683333333333334</v>
      </c>
      <c r="E7" s="6">
        <f t="shared" si="1"/>
        <v>12.683333333333334</v>
      </c>
      <c r="F7" s="6" t="e">
        <f t="shared" si="2"/>
        <v>#N/A</v>
      </c>
      <c r="G7" s="6">
        <f t="shared" si="3"/>
        <v>79.241151949428868</v>
      </c>
      <c r="H7" s="6" t="e">
        <f t="shared" si="4"/>
        <v>#N/A</v>
      </c>
      <c r="J7" s="8" t="s">
        <v>57</v>
      </c>
      <c r="K7" s="7">
        <f ca="1">IF(K6&lt;0,K6+24,K6)</f>
        <v>22.85</v>
      </c>
      <c r="M7" s="9">
        <f t="shared" ca="1" si="5"/>
        <v>36</v>
      </c>
      <c r="N7" s="9">
        <f t="shared" ca="1" si="6"/>
        <v>11.89728256096183</v>
      </c>
      <c r="O7" s="9" t="str">
        <f t="shared" si="7"/>
        <v>Class 2</v>
      </c>
      <c r="T7" s="10">
        <v>5</v>
      </c>
      <c r="U7" s="10" t="str">
        <f t="shared" ca="1" si="9"/>
        <v>Class 2</v>
      </c>
      <c r="W7" s="10">
        <v>5</v>
      </c>
      <c r="X7" s="10" t="str">
        <f t="shared" ca="1" si="10"/>
        <v>Class 2</v>
      </c>
    </row>
    <row r="8" spans="1:24" x14ac:dyDescent="0.3">
      <c r="A8" s="6" t="s">
        <v>11</v>
      </c>
      <c r="B8" s="6">
        <v>64.187944830978154</v>
      </c>
      <c r="C8" s="6" t="s">
        <v>12</v>
      </c>
      <c r="D8" s="6">
        <f t="shared" si="0"/>
        <v>4.0999999999999996</v>
      </c>
      <c r="E8" s="6">
        <f t="shared" si="1"/>
        <v>4.0999999999999996</v>
      </c>
      <c r="F8" s="6">
        <f t="shared" si="2"/>
        <v>64.187944830978154</v>
      </c>
      <c r="G8" s="6" t="e">
        <f t="shared" si="3"/>
        <v>#N/A</v>
      </c>
      <c r="H8" s="6" t="e">
        <f t="shared" si="4"/>
        <v>#N/A</v>
      </c>
      <c r="M8" s="9">
        <f t="shared" ca="1" si="5"/>
        <v>18</v>
      </c>
      <c r="N8" s="9">
        <f t="shared" ca="1" si="6"/>
        <v>20.743867736538196</v>
      </c>
      <c r="O8" s="9" t="str">
        <f t="shared" si="7"/>
        <v>Class 1</v>
      </c>
      <c r="W8" s="10">
        <v>6</v>
      </c>
      <c r="X8" s="10" t="str">
        <f t="shared" ca="1" si="10"/>
        <v>Class 1</v>
      </c>
    </row>
    <row r="9" spans="1:24" x14ac:dyDescent="0.3">
      <c r="A9" s="6" t="s">
        <v>13</v>
      </c>
      <c r="B9" s="6">
        <v>60.174414029839298</v>
      </c>
      <c r="C9" s="6" t="s">
        <v>12</v>
      </c>
      <c r="D9" s="6">
        <f t="shared" si="0"/>
        <v>2.3000000000000007</v>
      </c>
      <c r="E9" s="6">
        <f t="shared" si="1"/>
        <v>2.3000000000000007</v>
      </c>
      <c r="F9" s="6">
        <f t="shared" si="2"/>
        <v>60.174414029839298</v>
      </c>
      <c r="G9" s="6" t="e">
        <f t="shared" si="3"/>
        <v>#N/A</v>
      </c>
      <c r="H9" s="6" t="e">
        <f t="shared" si="4"/>
        <v>#N/A</v>
      </c>
      <c r="M9" s="9">
        <f t="shared" ca="1" si="5"/>
        <v>9</v>
      </c>
      <c r="N9" s="9">
        <f t="shared" ca="1" si="6"/>
        <v>24.256701552553562</v>
      </c>
      <c r="O9" s="9" t="str">
        <f t="shared" si="7"/>
        <v>Class 1</v>
      </c>
      <c r="W9" s="10">
        <v>7</v>
      </c>
      <c r="X9" s="10" t="str">
        <f t="shared" ca="1" si="10"/>
        <v>Class 2</v>
      </c>
    </row>
    <row r="10" spans="1:24" x14ac:dyDescent="0.3">
      <c r="A10" s="6" t="s">
        <v>14</v>
      </c>
      <c r="B10" s="6">
        <v>61.704562891158886</v>
      </c>
      <c r="C10" s="6" t="s">
        <v>7</v>
      </c>
      <c r="D10" s="6">
        <f t="shared" si="0"/>
        <v>-5.9833333333333334</v>
      </c>
      <c r="E10" s="6">
        <f t="shared" si="1"/>
        <v>18.016666666666666</v>
      </c>
      <c r="F10" s="6" t="e">
        <f t="shared" si="2"/>
        <v>#N/A</v>
      </c>
      <c r="G10" s="6" t="e">
        <f t="shared" si="3"/>
        <v>#N/A</v>
      </c>
      <c r="H10" s="6">
        <f t="shared" si="4"/>
        <v>61.704562891158886</v>
      </c>
      <c r="M10" s="9">
        <f t="shared" ca="1" si="5"/>
        <v>35</v>
      </c>
      <c r="N10" s="9">
        <f t="shared" ca="1" si="6"/>
        <v>12.342943611757454</v>
      </c>
      <c r="O10" s="9" t="str">
        <f t="shared" si="7"/>
        <v>Class 3</v>
      </c>
    </row>
    <row r="11" spans="1:24" x14ac:dyDescent="0.3">
      <c r="A11" s="6" t="s">
        <v>15</v>
      </c>
      <c r="B11" s="6">
        <v>66.238315634503763</v>
      </c>
      <c r="C11" s="6" t="s">
        <v>5</v>
      </c>
      <c r="D11" s="6">
        <f t="shared" si="0"/>
        <v>17.033333333333335</v>
      </c>
      <c r="E11" s="6">
        <f t="shared" si="1"/>
        <v>17.033333333333335</v>
      </c>
      <c r="F11" s="6" t="e">
        <f t="shared" si="2"/>
        <v>#N/A</v>
      </c>
      <c r="G11" s="6">
        <f t="shared" si="3"/>
        <v>66.238315634503763</v>
      </c>
      <c r="H11" s="6" t="e">
        <f t="shared" si="4"/>
        <v>#N/A</v>
      </c>
      <c r="M11" s="9">
        <f t="shared" ca="1" si="5"/>
        <v>44</v>
      </c>
      <c r="N11" s="9">
        <f t="shared" ca="1" si="6"/>
        <v>8.9662554578319842</v>
      </c>
      <c r="O11" s="9" t="str">
        <f t="shared" si="7"/>
        <v>Class 2</v>
      </c>
      <c r="Q11" s="8" t="s">
        <v>64</v>
      </c>
      <c r="R11" s="8" t="str">
        <f ca="1">INDEX(R3:R5,MODE(MATCH(R3:R5,R3:R5,0)))</f>
        <v>Class 2</v>
      </c>
      <c r="S11" s="2"/>
      <c r="T11" s="8" t="s">
        <v>64</v>
      </c>
      <c r="U11" s="8" t="str">
        <f ca="1">INDEX(U3:U7,MODE(MATCH(U3:U7,U3:U7,0)))</f>
        <v>Class 2</v>
      </c>
      <c r="V11" s="2"/>
      <c r="W11" s="8" t="s">
        <v>64</v>
      </c>
      <c r="X11" s="8" t="str">
        <f ca="1">INDEX(X3:X9,MODE(MATCH(X3:X9,X3:X9,0)))</f>
        <v>Class 2</v>
      </c>
    </row>
    <row r="12" spans="1:24" x14ac:dyDescent="0.3">
      <c r="A12" s="6" t="s">
        <v>16</v>
      </c>
      <c r="B12" s="6">
        <v>50.732572002684584</v>
      </c>
      <c r="C12" s="6" t="s">
        <v>7</v>
      </c>
      <c r="D12" s="6">
        <f t="shared" si="0"/>
        <v>16.616666666666667</v>
      </c>
      <c r="E12" s="6">
        <f t="shared" si="1"/>
        <v>16.616666666666667</v>
      </c>
      <c r="F12" s="6" t="e">
        <f t="shared" si="2"/>
        <v>#N/A</v>
      </c>
      <c r="G12" s="6" t="e">
        <f t="shared" si="3"/>
        <v>#N/A</v>
      </c>
      <c r="H12" s="6">
        <f t="shared" si="4"/>
        <v>50.732572002684584</v>
      </c>
      <c r="M12" s="9">
        <f t="shared" ca="1" si="5"/>
        <v>12</v>
      </c>
      <c r="N12" s="9">
        <f t="shared" ca="1" si="6"/>
        <v>23.1829566521834</v>
      </c>
      <c r="O12" s="9" t="str">
        <f t="shared" si="7"/>
        <v>Class 3</v>
      </c>
      <c r="Q12" s="8"/>
      <c r="R12" s="8" t="str">
        <f ca="1">_xlfn.IFNA(R11,R3)</f>
        <v>Class 2</v>
      </c>
      <c r="S12" s="2"/>
      <c r="T12" s="8"/>
      <c r="U12" s="8" t="str">
        <f ca="1">_xlfn.IFNA(U11,INDEX(U3:U6,MODE(MATCH(U3:U6,U3:U6,0))))</f>
        <v>Class 2</v>
      </c>
      <c r="V12" s="2"/>
      <c r="W12" s="8"/>
      <c r="X12" s="8" t="str">
        <f ca="1">_xlfn.IFNA(X11,INDEX(X3:X8,MODE(MATCH(X3:X8,X3:X8,0))))</f>
        <v>Class 2</v>
      </c>
    </row>
    <row r="13" spans="1:24" x14ac:dyDescent="0.3">
      <c r="A13" s="6" t="s">
        <v>17</v>
      </c>
      <c r="B13" s="6">
        <v>62.321511572227152</v>
      </c>
      <c r="C13" s="6" t="s">
        <v>7</v>
      </c>
      <c r="D13" s="6">
        <f t="shared" si="0"/>
        <v>17.8</v>
      </c>
      <c r="E13" s="6">
        <f t="shared" si="1"/>
        <v>17.8</v>
      </c>
      <c r="F13" s="6" t="e">
        <f t="shared" si="2"/>
        <v>#N/A</v>
      </c>
      <c r="G13" s="6" t="e">
        <f t="shared" si="3"/>
        <v>#N/A</v>
      </c>
      <c r="H13" s="6">
        <f t="shared" si="4"/>
        <v>62.321511572227152</v>
      </c>
      <c r="M13" s="9">
        <f t="shared" ca="1" si="5"/>
        <v>38</v>
      </c>
      <c r="N13" s="9">
        <f t="shared" ca="1" si="6"/>
        <v>11.868301890126032</v>
      </c>
      <c r="O13" s="9" t="str">
        <f t="shared" si="7"/>
        <v>Class 3</v>
      </c>
    </row>
    <row r="14" spans="1:24" x14ac:dyDescent="0.3">
      <c r="A14" s="6" t="s">
        <v>18</v>
      </c>
      <c r="B14" s="6">
        <v>83.693289377081797</v>
      </c>
      <c r="C14" s="6" t="s">
        <v>12</v>
      </c>
      <c r="D14" s="6">
        <f t="shared" si="0"/>
        <v>1.6166666666666671</v>
      </c>
      <c r="E14" s="6">
        <f t="shared" si="1"/>
        <v>1.6166666666666671</v>
      </c>
      <c r="F14" s="6">
        <f t="shared" si="2"/>
        <v>83.693289377081797</v>
      </c>
      <c r="G14" s="6" t="e">
        <f t="shared" si="3"/>
        <v>#N/A</v>
      </c>
      <c r="H14" s="6" t="e">
        <f t="shared" si="4"/>
        <v>#N/A</v>
      </c>
      <c r="M14" s="9">
        <f t="shared" ca="1" si="5"/>
        <v>10</v>
      </c>
      <c r="N14" s="9">
        <f t="shared" ca="1" si="6"/>
        <v>23.746214846941125</v>
      </c>
      <c r="O14" s="9" t="str">
        <f t="shared" si="7"/>
        <v>Class 1</v>
      </c>
    </row>
    <row r="15" spans="1:24" x14ac:dyDescent="0.3">
      <c r="A15" s="6" t="s">
        <v>19</v>
      </c>
      <c r="B15" s="6">
        <v>76.174302255765184</v>
      </c>
      <c r="C15" s="6" t="s">
        <v>12</v>
      </c>
      <c r="D15" s="6">
        <f t="shared" si="0"/>
        <v>9.8666666666666671</v>
      </c>
      <c r="E15" s="6">
        <f t="shared" si="1"/>
        <v>9.8666666666666671</v>
      </c>
      <c r="F15" s="6">
        <f t="shared" si="2"/>
        <v>76.174302255765184</v>
      </c>
      <c r="G15" s="6" t="e">
        <f t="shared" si="3"/>
        <v>#N/A</v>
      </c>
      <c r="H15" s="6" t="e">
        <f t="shared" si="4"/>
        <v>#N/A</v>
      </c>
      <c r="M15" s="9">
        <f t="shared" ca="1" si="5"/>
        <v>32</v>
      </c>
      <c r="N15" s="9">
        <f t="shared" ca="1" si="6"/>
        <v>13.351199551575899</v>
      </c>
      <c r="O15" s="9" t="str">
        <f t="shared" si="7"/>
        <v>Class 1</v>
      </c>
    </row>
    <row r="16" spans="1:24" x14ac:dyDescent="0.3">
      <c r="A16" s="6" t="s">
        <v>20</v>
      </c>
      <c r="B16" s="6">
        <v>74.163316536200469</v>
      </c>
      <c r="C16" s="6" t="s">
        <v>12</v>
      </c>
      <c r="D16" s="6">
        <f t="shared" si="0"/>
        <v>10.45</v>
      </c>
      <c r="E16" s="6">
        <f t="shared" si="1"/>
        <v>10.45</v>
      </c>
      <c r="F16" s="6">
        <f t="shared" si="2"/>
        <v>74.163316536200469</v>
      </c>
      <c r="G16" s="6" t="e">
        <f t="shared" si="3"/>
        <v>#N/A</v>
      </c>
      <c r="H16" s="6" t="e">
        <f t="shared" si="4"/>
        <v>#N/A</v>
      </c>
      <c r="M16" s="9">
        <f t="shared" ca="1" si="5"/>
        <v>34</v>
      </c>
      <c r="N16" s="9">
        <f t="shared" ca="1" si="6"/>
        <v>12.448827595493844</v>
      </c>
      <c r="O16" s="9" t="str">
        <f t="shared" si="7"/>
        <v>Class 1</v>
      </c>
    </row>
    <row r="17" spans="1:15" x14ac:dyDescent="0.3">
      <c r="A17" s="6" t="s">
        <v>21</v>
      </c>
      <c r="B17" s="6">
        <v>62.313390809729562</v>
      </c>
      <c r="C17" s="6" t="s">
        <v>5</v>
      </c>
      <c r="D17" s="6">
        <f t="shared" si="0"/>
        <v>17.766666666666666</v>
      </c>
      <c r="E17" s="6">
        <f t="shared" si="1"/>
        <v>17.766666666666666</v>
      </c>
      <c r="F17" s="6" t="e">
        <f t="shared" si="2"/>
        <v>#N/A</v>
      </c>
      <c r="G17" s="6">
        <f t="shared" si="3"/>
        <v>62.313390809729562</v>
      </c>
      <c r="H17" s="6" t="e">
        <f t="shared" si="4"/>
        <v>#N/A</v>
      </c>
      <c r="M17" s="9">
        <f t="shared" ca="1" si="5"/>
        <v>37</v>
      </c>
      <c r="N17" s="9">
        <f t="shared" ca="1" si="6"/>
        <v>11.889864270258251</v>
      </c>
      <c r="O17" s="9" t="str">
        <f t="shared" si="7"/>
        <v>Class 2</v>
      </c>
    </row>
    <row r="18" spans="1:15" x14ac:dyDescent="0.3">
      <c r="A18" s="6" t="s">
        <v>22</v>
      </c>
      <c r="B18" s="6">
        <v>62.02002592124672</v>
      </c>
      <c r="C18" s="6" t="s">
        <v>7</v>
      </c>
      <c r="D18" s="6">
        <f t="shared" si="0"/>
        <v>-1.0499999999999998</v>
      </c>
      <c r="E18" s="6">
        <f t="shared" si="1"/>
        <v>22.95</v>
      </c>
      <c r="F18" s="6" t="e">
        <f t="shared" si="2"/>
        <v>#N/A</v>
      </c>
      <c r="G18" s="6" t="e">
        <f t="shared" si="3"/>
        <v>#N/A</v>
      </c>
      <c r="H18" s="6">
        <f t="shared" si="4"/>
        <v>62.02002592124672</v>
      </c>
      <c r="M18" s="9">
        <f t="shared" ca="1" si="5"/>
        <v>40</v>
      </c>
      <c r="N18" s="9">
        <f t="shared" ca="1" si="6"/>
        <v>11.042240592796862</v>
      </c>
      <c r="O18" s="9" t="str">
        <f t="shared" si="7"/>
        <v>Class 3</v>
      </c>
    </row>
    <row r="19" spans="1:15" x14ac:dyDescent="0.3">
      <c r="A19" s="6" t="s">
        <v>23</v>
      </c>
      <c r="B19" s="6">
        <v>62.889166360453181</v>
      </c>
      <c r="C19" s="6" t="s">
        <v>12</v>
      </c>
      <c r="D19" s="6">
        <f t="shared" si="0"/>
        <v>9.6</v>
      </c>
      <c r="E19" s="6">
        <f t="shared" si="1"/>
        <v>9.6</v>
      </c>
      <c r="F19" s="6">
        <f t="shared" si="2"/>
        <v>62.889166360453181</v>
      </c>
      <c r="G19" s="6" t="e">
        <f t="shared" si="3"/>
        <v>#N/A</v>
      </c>
      <c r="H19" s="6" t="e">
        <f t="shared" si="4"/>
        <v>#N/A</v>
      </c>
      <c r="M19" s="9">
        <f t="shared" ca="1" si="5"/>
        <v>24</v>
      </c>
      <c r="N19" s="9">
        <f t="shared" ca="1" si="6"/>
        <v>16.704647672317602</v>
      </c>
      <c r="O19" s="9" t="str">
        <f t="shared" si="7"/>
        <v>Class 1</v>
      </c>
    </row>
    <row r="20" spans="1:15" x14ac:dyDescent="0.3">
      <c r="A20" s="6" t="s">
        <v>24</v>
      </c>
      <c r="B20" s="6">
        <v>78.216497499682504</v>
      </c>
      <c r="C20" s="6" t="s">
        <v>12</v>
      </c>
      <c r="D20" s="6">
        <f t="shared" si="0"/>
        <v>9.6</v>
      </c>
      <c r="E20" s="6">
        <f t="shared" si="1"/>
        <v>9.6</v>
      </c>
      <c r="F20" s="6">
        <f t="shared" si="2"/>
        <v>78.216497499682504</v>
      </c>
      <c r="G20" s="6" t="e">
        <f t="shared" si="3"/>
        <v>#N/A</v>
      </c>
      <c r="H20" s="6" t="e">
        <f t="shared" si="4"/>
        <v>#N/A</v>
      </c>
      <c r="M20" s="9">
        <f t="shared" ca="1" si="5"/>
        <v>29</v>
      </c>
      <c r="N20" s="9">
        <f t="shared" ca="1" si="6"/>
        <v>14.217357880219156</v>
      </c>
      <c r="O20" s="9" t="str">
        <f t="shared" si="7"/>
        <v>Class 1</v>
      </c>
    </row>
    <row r="21" spans="1:15" x14ac:dyDescent="0.3">
      <c r="A21" s="6" t="s">
        <v>25</v>
      </c>
      <c r="B21" s="6">
        <v>59.569651727292573</v>
      </c>
      <c r="C21" s="6" t="s">
        <v>7</v>
      </c>
      <c r="D21" s="6">
        <f t="shared" si="0"/>
        <v>-2.0833333333333335</v>
      </c>
      <c r="E21" s="6">
        <f t="shared" si="1"/>
        <v>21.916666666666668</v>
      </c>
      <c r="F21" s="6" t="e">
        <f t="shared" si="2"/>
        <v>#N/A</v>
      </c>
      <c r="G21" s="6" t="e">
        <f t="shared" si="3"/>
        <v>#N/A</v>
      </c>
      <c r="H21" s="6">
        <f t="shared" si="4"/>
        <v>59.569651727292573</v>
      </c>
      <c r="M21" s="9">
        <f t="shared" ca="1" si="5"/>
        <v>31</v>
      </c>
      <c r="N21" s="9">
        <f t="shared" ca="1" si="6"/>
        <v>13.524405560237742</v>
      </c>
      <c r="O21" s="9" t="str">
        <f t="shared" si="7"/>
        <v>Class 3</v>
      </c>
    </row>
    <row r="22" spans="1:15" x14ac:dyDescent="0.3">
      <c r="A22" s="6" t="s">
        <v>26</v>
      </c>
      <c r="B22" s="6">
        <v>56.827373179079508</v>
      </c>
      <c r="C22" s="6" t="s">
        <v>12</v>
      </c>
      <c r="D22" s="6">
        <f t="shared" si="0"/>
        <v>1.8833333333333329</v>
      </c>
      <c r="E22" s="6">
        <f t="shared" si="1"/>
        <v>1.8833333333333329</v>
      </c>
      <c r="F22" s="6">
        <f t="shared" si="2"/>
        <v>56.827373179079508</v>
      </c>
      <c r="G22" s="6" t="e">
        <f t="shared" si="3"/>
        <v>#N/A</v>
      </c>
      <c r="H22" s="6" t="e">
        <f t="shared" si="4"/>
        <v>#N/A</v>
      </c>
      <c r="M22" s="9">
        <f t="shared" ca="1" si="5"/>
        <v>6</v>
      </c>
      <c r="N22" s="9">
        <f t="shared" ca="1" si="6"/>
        <v>26.517129748088077</v>
      </c>
      <c r="O22" s="9" t="str">
        <f t="shared" si="7"/>
        <v>Class 1</v>
      </c>
    </row>
    <row r="23" spans="1:15" x14ac:dyDescent="0.3">
      <c r="A23" s="6" t="s">
        <v>27</v>
      </c>
      <c r="B23" s="6">
        <v>81.765122820369214</v>
      </c>
      <c r="C23" s="6" t="s">
        <v>5</v>
      </c>
      <c r="D23" s="6">
        <f t="shared" si="0"/>
        <v>3.5666666666666664</v>
      </c>
      <c r="E23" s="6">
        <f t="shared" si="1"/>
        <v>3.5666666666666664</v>
      </c>
      <c r="F23" s="6" t="e">
        <f t="shared" si="2"/>
        <v>#N/A</v>
      </c>
      <c r="G23" s="6">
        <f t="shared" si="3"/>
        <v>81.765122820369214</v>
      </c>
      <c r="H23" s="6" t="e">
        <f t="shared" si="4"/>
        <v>#N/A</v>
      </c>
      <c r="M23" s="9">
        <f t="shared" ca="1" si="5"/>
        <v>17</v>
      </c>
      <c r="N23" s="9">
        <f t="shared" ca="1" si="6"/>
        <v>21.156430089268493</v>
      </c>
      <c r="O23" s="9" t="str">
        <f t="shared" si="7"/>
        <v>Class 2</v>
      </c>
    </row>
    <row r="24" spans="1:15" x14ac:dyDescent="0.3">
      <c r="A24" s="6" t="s">
        <v>28</v>
      </c>
      <c r="B24" s="6">
        <v>63.208229319433663</v>
      </c>
      <c r="C24" s="6" t="s">
        <v>5</v>
      </c>
      <c r="D24" s="6">
        <f t="shared" si="0"/>
        <v>14.850000000000001</v>
      </c>
      <c r="E24" s="6">
        <f t="shared" si="1"/>
        <v>14.850000000000001</v>
      </c>
      <c r="F24" s="6" t="e">
        <f t="shared" si="2"/>
        <v>#N/A</v>
      </c>
      <c r="G24" s="6">
        <f t="shared" si="3"/>
        <v>63.208229319433663</v>
      </c>
      <c r="H24" s="6" t="e">
        <f t="shared" si="4"/>
        <v>#N/A</v>
      </c>
      <c r="M24" s="9">
        <f t="shared" ca="1" si="5"/>
        <v>33</v>
      </c>
      <c r="N24" s="9">
        <f t="shared" ca="1" si="6"/>
        <v>12.69224665327719</v>
      </c>
      <c r="O24" s="9" t="str">
        <f t="shared" si="7"/>
        <v>Class 2</v>
      </c>
    </row>
    <row r="25" spans="1:15" x14ac:dyDescent="0.3">
      <c r="A25" s="6" t="s">
        <v>29</v>
      </c>
      <c r="B25" s="6">
        <v>65.79265390365083</v>
      </c>
      <c r="C25" s="6" t="s">
        <v>5</v>
      </c>
      <c r="D25" s="6">
        <f t="shared" si="0"/>
        <v>15.5</v>
      </c>
      <c r="E25" s="6">
        <f t="shared" si="1"/>
        <v>15.5</v>
      </c>
      <c r="F25" s="6" t="e">
        <f t="shared" si="2"/>
        <v>#N/A</v>
      </c>
      <c r="G25" s="6">
        <f t="shared" si="3"/>
        <v>65.79265390365083</v>
      </c>
      <c r="H25" s="6" t="e">
        <f t="shared" si="4"/>
        <v>#N/A</v>
      </c>
      <c r="M25" s="9">
        <f t="shared" ca="1" si="5"/>
        <v>43</v>
      </c>
      <c r="N25" s="9">
        <f t="shared" ca="1" si="6"/>
        <v>10.337465072121468</v>
      </c>
      <c r="O25" s="9" t="str">
        <f t="shared" si="7"/>
        <v>Class 2</v>
      </c>
    </row>
    <row r="26" spans="1:15" x14ac:dyDescent="0.3">
      <c r="A26" s="6" t="s">
        <v>30</v>
      </c>
      <c r="B26" s="6">
        <v>54.360708793072817</v>
      </c>
      <c r="C26" s="6" t="s">
        <v>5</v>
      </c>
      <c r="D26" s="6">
        <f t="shared" si="0"/>
        <v>15.149999999999999</v>
      </c>
      <c r="E26" s="6">
        <f t="shared" si="1"/>
        <v>15.149999999999999</v>
      </c>
      <c r="F26" s="6" t="e">
        <f t="shared" si="2"/>
        <v>#N/A</v>
      </c>
      <c r="G26" s="6">
        <f t="shared" si="3"/>
        <v>54.360708793072817</v>
      </c>
      <c r="H26" s="6" t="e">
        <f t="shared" si="4"/>
        <v>#N/A</v>
      </c>
      <c r="M26" s="9">
        <f t="shared" ca="1" si="5"/>
        <v>20</v>
      </c>
      <c r="N26" s="9">
        <f t="shared" ca="1" si="6"/>
        <v>20.224275627796317</v>
      </c>
      <c r="O26" s="9" t="str">
        <f t="shared" si="7"/>
        <v>Class 2</v>
      </c>
    </row>
    <row r="27" spans="1:15" x14ac:dyDescent="0.3">
      <c r="A27" s="6" t="s">
        <v>31</v>
      </c>
      <c r="B27" s="6">
        <v>58.605466234402513</v>
      </c>
      <c r="C27" s="6" t="s">
        <v>7</v>
      </c>
      <c r="D27" s="6">
        <f t="shared" si="0"/>
        <v>17.033333333333335</v>
      </c>
      <c r="E27" s="6">
        <f t="shared" si="1"/>
        <v>17.033333333333335</v>
      </c>
      <c r="F27" s="6" t="e">
        <f t="shared" si="2"/>
        <v>#N/A</v>
      </c>
      <c r="G27" s="6" t="e">
        <f t="shared" si="3"/>
        <v>#N/A</v>
      </c>
      <c r="H27" s="6">
        <f t="shared" si="4"/>
        <v>58.605466234402513</v>
      </c>
      <c r="M27" s="9">
        <f t="shared" ca="1" si="5"/>
        <v>27</v>
      </c>
      <c r="N27" s="9">
        <f t="shared" ca="1" si="6"/>
        <v>15.5826696397778</v>
      </c>
      <c r="O27" s="9" t="str">
        <f t="shared" si="7"/>
        <v>Class 3</v>
      </c>
    </row>
    <row r="28" spans="1:15" x14ac:dyDescent="0.3">
      <c r="A28" s="6" t="s">
        <v>32</v>
      </c>
      <c r="B28" s="6">
        <v>73.977527595469184</v>
      </c>
      <c r="C28" s="6" t="s">
        <v>5</v>
      </c>
      <c r="D28" s="6">
        <f t="shared" si="0"/>
        <v>1.5</v>
      </c>
      <c r="E28" s="6">
        <f t="shared" si="1"/>
        <v>1.5</v>
      </c>
      <c r="F28" s="6" t="e">
        <f t="shared" si="2"/>
        <v>#N/A</v>
      </c>
      <c r="G28" s="6">
        <f t="shared" si="3"/>
        <v>73.977527595469184</v>
      </c>
      <c r="H28" s="6" t="e">
        <f t="shared" si="4"/>
        <v>#N/A</v>
      </c>
      <c r="M28" s="9">
        <f t="shared" ca="1" si="5"/>
        <v>15</v>
      </c>
      <c r="N28" s="9">
        <f t="shared" ca="1" si="6"/>
        <v>21.369628727280759</v>
      </c>
      <c r="O28" s="9" t="str">
        <f t="shared" si="7"/>
        <v>Class 2</v>
      </c>
    </row>
    <row r="29" spans="1:15" x14ac:dyDescent="0.3">
      <c r="A29" s="6" t="s">
        <v>33</v>
      </c>
      <c r="B29" s="6">
        <v>50.374348528828961</v>
      </c>
      <c r="C29" s="6" t="s">
        <v>7</v>
      </c>
      <c r="D29" s="6">
        <f t="shared" si="0"/>
        <v>16.266666666666666</v>
      </c>
      <c r="E29" s="6">
        <f t="shared" si="1"/>
        <v>16.266666666666666</v>
      </c>
      <c r="F29" s="6" t="e">
        <f t="shared" si="2"/>
        <v>#N/A</v>
      </c>
      <c r="G29" s="6" t="e">
        <f t="shared" si="3"/>
        <v>#N/A</v>
      </c>
      <c r="H29" s="6">
        <f t="shared" si="4"/>
        <v>50.374348528828961</v>
      </c>
      <c r="M29" s="9">
        <f t="shared" ca="1" si="5"/>
        <v>11</v>
      </c>
      <c r="N29" s="9">
        <f t="shared" ca="1" si="6"/>
        <v>23.623322238520156</v>
      </c>
      <c r="O29" s="9" t="str">
        <f t="shared" si="7"/>
        <v>Class 3</v>
      </c>
    </row>
    <row r="30" spans="1:15" x14ac:dyDescent="0.3">
      <c r="A30" s="6" t="s">
        <v>34</v>
      </c>
      <c r="B30" s="6">
        <v>58.724809401522542</v>
      </c>
      <c r="C30" s="6" t="s">
        <v>12</v>
      </c>
      <c r="D30" s="6">
        <f t="shared" si="0"/>
        <v>6.8000000000000007</v>
      </c>
      <c r="E30" s="6">
        <f t="shared" si="1"/>
        <v>6.8000000000000007</v>
      </c>
      <c r="F30" s="6">
        <f t="shared" si="2"/>
        <v>58.724809401522542</v>
      </c>
      <c r="G30" s="6" t="e">
        <f t="shared" si="3"/>
        <v>#N/A</v>
      </c>
      <c r="H30" s="6" t="e">
        <f t="shared" si="4"/>
        <v>#N/A</v>
      </c>
      <c r="M30" s="9">
        <f t="shared" ca="1" si="5"/>
        <v>14</v>
      </c>
      <c r="N30" s="9">
        <f t="shared" ca="1" si="6"/>
        <v>21.520970986464988</v>
      </c>
      <c r="O30" s="9" t="str">
        <f t="shared" si="7"/>
        <v>Class 1</v>
      </c>
    </row>
    <row r="31" spans="1:15" x14ac:dyDescent="0.3">
      <c r="A31" s="6" t="s">
        <v>35</v>
      </c>
      <c r="B31" s="6">
        <v>70.020101075816171</v>
      </c>
      <c r="C31" s="6" t="s">
        <v>12</v>
      </c>
      <c r="D31" s="6">
        <f t="shared" si="0"/>
        <v>9.65</v>
      </c>
      <c r="E31" s="6">
        <f t="shared" si="1"/>
        <v>9.65</v>
      </c>
      <c r="F31" s="6">
        <f t="shared" si="2"/>
        <v>70.020101075816171</v>
      </c>
      <c r="G31" s="6" t="e">
        <f t="shared" si="3"/>
        <v>#N/A</v>
      </c>
      <c r="H31" s="6" t="e">
        <f t="shared" si="4"/>
        <v>#N/A</v>
      </c>
      <c r="M31" s="9">
        <f t="shared" ca="1" si="5"/>
        <v>30</v>
      </c>
      <c r="N31" s="9">
        <f t="shared" ca="1" si="6"/>
        <v>13.545922474183902</v>
      </c>
      <c r="O31" s="9" t="str">
        <f t="shared" si="7"/>
        <v>Class 1</v>
      </c>
    </row>
    <row r="32" spans="1:15" x14ac:dyDescent="0.3">
      <c r="A32" s="6" t="s">
        <v>36</v>
      </c>
      <c r="B32" s="6">
        <v>73.432155471492635</v>
      </c>
      <c r="C32" s="6" t="s">
        <v>5</v>
      </c>
      <c r="D32" s="6">
        <f t="shared" si="0"/>
        <v>11.600000000000001</v>
      </c>
      <c r="E32" s="6">
        <f t="shared" si="1"/>
        <v>11.600000000000001</v>
      </c>
      <c r="F32" s="6" t="e">
        <f t="shared" si="2"/>
        <v>#N/A</v>
      </c>
      <c r="G32" s="6">
        <f t="shared" si="3"/>
        <v>73.432155471492635</v>
      </c>
      <c r="H32" s="6" t="e">
        <f t="shared" si="4"/>
        <v>#N/A</v>
      </c>
      <c r="M32" s="9">
        <f t="shared" ca="1" si="5"/>
        <v>39</v>
      </c>
      <c r="N32" s="9">
        <f t="shared" ca="1" si="6"/>
        <v>11.256094039635364</v>
      </c>
      <c r="O32" s="9" t="str">
        <f t="shared" si="7"/>
        <v>Class 2</v>
      </c>
    </row>
    <row r="33" spans="1:15" x14ac:dyDescent="0.3">
      <c r="A33" s="6" t="s">
        <v>37</v>
      </c>
      <c r="B33" s="6">
        <v>41.619050102042891</v>
      </c>
      <c r="C33" s="6" t="s">
        <v>12</v>
      </c>
      <c r="D33" s="6">
        <f t="shared" si="0"/>
        <v>0.40000000000000036</v>
      </c>
      <c r="E33" s="6">
        <f t="shared" si="1"/>
        <v>0.40000000000000036</v>
      </c>
      <c r="F33" s="6">
        <f t="shared" si="2"/>
        <v>41.619050102042891</v>
      </c>
      <c r="G33" s="6" t="e">
        <f t="shared" si="3"/>
        <v>#N/A</v>
      </c>
      <c r="H33" s="6" t="e">
        <f t="shared" si="4"/>
        <v>#N/A</v>
      </c>
      <c r="M33" s="9">
        <f t="shared" ca="1" si="5"/>
        <v>1</v>
      </c>
      <c r="N33" s="9">
        <f t="shared" ca="1" si="6"/>
        <v>38.634827326622613</v>
      </c>
      <c r="O33" s="9" t="str">
        <f t="shared" si="7"/>
        <v>Class 1</v>
      </c>
    </row>
    <row r="34" spans="1:15" x14ac:dyDescent="0.3">
      <c r="A34" s="6" t="s">
        <v>38</v>
      </c>
      <c r="B34" s="6">
        <v>71.111307156449001</v>
      </c>
      <c r="C34" s="6" t="s">
        <v>12</v>
      </c>
      <c r="D34" s="6">
        <f t="shared" si="0"/>
        <v>12.5</v>
      </c>
      <c r="E34" s="6">
        <f t="shared" si="1"/>
        <v>12.5</v>
      </c>
      <c r="F34" s="6">
        <f t="shared" si="2"/>
        <v>71.111307156449001</v>
      </c>
      <c r="G34" s="6" t="e">
        <f t="shared" si="3"/>
        <v>#N/A</v>
      </c>
      <c r="H34" s="6" t="e">
        <f t="shared" si="4"/>
        <v>#N/A</v>
      </c>
      <c r="M34" s="9">
        <f t="shared" ca="1" si="5"/>
        <v>42</v>
      </c>
      <c r="N34" s="9">
        <f t="shared" ca="1" si="6"/>
        <v>10.532187606050742</v>
      </c>
      <c r="O34" s="9" t="str">
        <f t="shared" si="7"/>
        <v>Class 1</v>
      </c>
    </row>
    <row r="35" spans="1:15" x14ac:dyDescent="0.3">
      <c r="A35" s="6" t="s">
        <v>39</v>
      </c>
      <c r="B35" s="6">
        <v>68.710701098779467</v>
      </c>
      <c r="C35" s="6" t="s">
        <v>7</v>
      </c>
      <c r="D35" s="6">
        <f t="shared" si="0"/>
        <v>-4.7833333333333332</v>
      </c>
      <c r="E35" s="6">
        <f t="shared" si="1"/>
        <v>19.216666666666669</v>
      </c>
      <c r="F35" s="6" t="e">
        <f t="shared" si="2"/>
        <v>#N/A</v>
      </c>
      <c r="G35" s="6" t="e">
        <f t="shared" si="3"/>
        <v>#N/A</v>
      </c>
      <c r="H35" s="6">
        <f t="shared" si="4"/>
        <v>68.710701098779467</v>
      </c>
      <c r="M35" s="9">
        <f t="shared" ca="1" si="5"/>
        <v>48</v>
      </c>
      <c r="N35" s="9">
        <f t="shared" ca="1" si="6"/>
        <v>5.6686234628112189</v>
      </c>
      <c r="O35" s="9" t="str">
        <f t="shared" si="7"/>
        <v>Class 3</v>
      </c>
    </row>
    <row r="36" spans="1:15" x14ac:dyDescent="0.3">
      <c r="A36" s="6" t="s">
        <v>40</v>
      </c>
      <c r="B36" s="6">
        <v>91.749840046482973</v>
      </c>
      <c r="C36" s="6" t="s">
        <v>5</v>
      </c>
      <c r="D36" s="6">
        <f t="shared" si="0"/>
        <v>1.5333333333333332</v>
      </c>
      <c r="E36" s="6">
        <f t="shared" si="1"/>
        <v>1.5333333333333332</v>
      </c>
      <c r="F36" s="6" t="e">
        <f t="shared" si="2"/>
        <v>#N/A</v>
      </c>
      <c r="G36" s="6">
        <f t="shared" si="3"/>
        <v>91.749840046482973</v>
      </c>
      <c r="H36" s="6" t="e">
        <f t="shared" si="4"/>
        <v>#N/A</v>
      </c>
      <c r="M36" s="9">
        <f t="shared" ca="1" si="5"/>
        <v>5</v>
      </c>
      <c r="N36" s="9">
        <f t="shared" ca="1" si="6"/>
        <v>28.348590909873987</v>
      </c>
      <c r="O36" s="9" t="str">
        <f t="shared" si="7"/>
        <v>Class 2</v>
      </c>
    </row>
    <row r="37" spans="1:15" x14ac:dyDescent="0.3">
      <c r="A37" s="6" t="s">
        <v>41</v>
      </c>
      <c r="B37" s="6">
        <v>85.070574600684353</v>
      </c>
      <c r="C37" s="6" t="s">
        <v>5</v>
      </c>
      <c r="D37" s="6">
        <f t="shared" si="0"/>
        <v>11.333333333333332</v>
      </c>
      <c r="E37" s="6">
        <f t="shared" si="1"/>
        <v>11.333333333333332</v>
      </c>
      <c r="F37" s="6" t="e">
        <f t="shared" si="2"/>
        <v>#N/A</v>
      </c>
      <c r="G37" s="6">
        <f t="shared" si="3"/>
        <v>85.070574600684353</v>
      </c>
      <c r="H37" s="6" t="e">
        <f t="shared" si="4"/>
        <v>#N/A</v>
      </c>
      <c r="M37" s="9">
        <f t="shared" ca="1" si="5"/>
        <v>25</v>
      </c>
      <c r="N37" s="9">
        <f t="shared" ca="1" si="6"/>
        <v>16.63862823451479</v>
      </c>
      <c r="O37" s="9" t="str">
        <f t="shared" si="7"/>
        <v>Class 2</v>
      </c>
    </row>
    <row r="38" spans="1:15" x14ac:dyDescent="0.3">
      <c r="A38" s="6" t="s">
        <v>42</v>
      </c>
      <c r="B38" s="6">
        <v>71.022868869886253</v>
      </c>
      <c r="C38" s="6" t="s">
        <v>7</v>
      </c>
      <c r="D38" s="6">
        <f t="shared" si="0"/>
        <v>-1.1333333333333329</v>
      </c>
      <c r="E38" s="6">
        <f t="shared" si="1"/>
        <v>22.866666666666667</v>
      </c>
      <c r="F38" s="6" t="e">
        <f t="shared" si="2"/>
        <v>#N/A</v>
      </c>
      <c r="G38" s="6" t="e">
        <f t="shared" si="3"/>
        <v>#N/A</v>
      </c>
      <c r="H38" s="6">
        <f t="shared" si="4"/>
        <v>71.022868869886253</v>
      </c>
      <c r="M38" s="9">
        <f t="shared" ca="1" si="5"/>
        <v>49</v>
      </c>
      <c r="N38" s="9">
        <f t="shared" ca="1" si="6"/>
        <v>2.0390129451045689</v>
      </c>
      <c r="O38" s="9" t="str">
        <f t="shared" si="7"/>
        <v>Class 3</v>
      </c>
    </row>
    <row r="39" spans="1:15" x14ac:dyDescent="0.3">
      <c r="A39" s="6" t="s">
        <v>43</v>
      </c>
      <c r="B39" s="6">
        <v>78.74820603922268</v>
      </c>
      <c r="C39" s="6" t="s">
        <v>7</v>
      </c>
      <c r="D39" s="6">
        <f t="shared" si="0"/>
        <v>-2.35</v>
      </c>
      <c r="E39" s="6">
        <f t="shared" si="1"/>
        <v>21.65</v>
      </c>
      <c r="F39" s="6" t="e">
        <f t="shared" si="2"/>
        <v>#N/A</v>
      </c>
      <c r="G39" s="6" t="e">
        <f t="shared" si="3"/>
        <v>#N/A</v>
      </c>
      <c r="H39" s="6">
        <f t="shared" si="4"/>
        <v>78.74820603922268</v>
      </c>
      <c r="M39" s="9">
        <f t="shared" ca="1" si="5"/>
        <v>47</v>
      </c>
      <c r="N39" s="9">
        <f t="shared" ca="1" si="6"/>
        <v>5.8116312561194361</v>
      </c>
      <c r="O39" s="9" t="str">
        <f t="shared" si="7"/>
        <v>Class 3</v>
      </c>
    </row>
    <row r="40" spans="1:15" x14ac:dyDescent="0.3">
      <c r="A40" s="6" t="s">
        <v>44</v>
      </c>
      <c r="B40" s="6">
        <v>66.901152790933523</v>
      </c>
      <c r="C40" s="6" t="s">
        <v>7</v>
      </c>
      <c r="D40" s="6">
        <f t="shared" si="0"/>
        <v>-0.29999999999999982</v>
      </c>
      <c r="E40" s="6">
        <f t="shared" si="1"/>
        <v>23.7</v>
      </c>
      <c r="F40" s="6" t="e">
        <f t="shared" si="2"/>
        <v>#N/A</v>
      </c>
      <c r="G40" s="6" t="e">
        <f t="shared" si="3"/>
        <v>#N/A</v>
      </c>
      <c r="H40" s="6">
        <f t="shared" si="4"/>
        <v>66.901152790933523</v>
      </c>
      <c r="M40" s="9">
        <f t="shared" ca="1" si="5"/>
        <v>46</v>
      </c>
      <c r="N40" s="9">
        <f t="shared" ca="1" si="6"/>
        <v>6.2190226573931842</v>
      </c>
      <c r="O40" s="9" t="str">
        <f t="shared" si="7"/>
        <v>Class 3</v>
      </c>
    </row>
    <row r="41" spans="1:15" x14ac:dyDescent="0.3">
      <c r="A41" s="6" t="s">
        <v>45</v>
      </c>
      <c r="B41" s="6">
        <v>79.284864151138322</v>
      </c>
      <c r="C41" s="6" t="s">
        <v>7</v>
      </c>
      <c r="D41" s="6">
        <f t="shared" si="0"/>
        <v>-4.0833333333333339</v>
      </c>
      <c r="E41" s="6">
        <f t="shared" si="1"/>
        <v>19.916666666666664</v>
      </c>
      <c r="F41" s="6" t="e">
        <f t="shared" si="2"/>
        <v>#N/A</v>
      </c>
      <c r="G41" s="6" t="e">
        <f t="shared" si="3"/>
        <v>#N/A</v>
      </c>
      <c r="H41" s="6">
        <f t="shared" si="4"/>
        <v>79.284864151138322</v>
      </c>
      <c r="M41" s="9">
        <f t="shared" ca="1" si="5"/>
        <v>45</v>
      </c>
      <c r="N41" s="9">
        <f t="shared" ca="1" si="6"/>
        <v>6.879738467807015</v>
      </c>
      <c r="O41" s="9" t="str">
        <f t="shared" si="7"/>
        <v>Class 3</v>
      </c>
    </row>
    <row r="42" spans="1:15" x14ac:dyDescent="0.3">
      <c r="A42" s="6" t="s">
        <v>46</v>
      </c>
      <c r="B42" s="6">
        <v>62.902030630318933</v>
      </c>
      <c r="C42" s="6" t="s">
        <v>12</v>
      </c>
      <c r="D42" s="6">
        <f t="shared" si="0"/>
        <v>9.1833333333333336</v>
      </c>
      <c r="E42" s="6">
        <f t="shared" si="1"/>
        <v>9.1833333333333336</v>
      </c>
      <c r="F42" s="6">
        <f t="shared" si="2"/>
        <v>62.902030630318933</v>
      </c>
      <c r="G42" s="6" t="e">
        <f t="shared" si="3"/>
        <v>#N/A</v>
      </c>
      <c r="H42" s="6" t="e">
        <f t="shared" si="4"/>
        <v>#N/A</v>
      </c>
      <c r="M42" s="9">
        <f t="shared" ca="1" si="5"/>
        <v>23</v>
      </c>
      <c r="N42" s="9">
        <f t="shared" ca="1" si="6"/>
        <v>17.029356117078574</v>
      </c>
      <c r="O42" s="9" t="str">
        <f t="shared" si="7"/>
        <v>Class 1</v>
      </c>
    </row>
    <row r="43" spans="1:15" x14ac:dyDescent="0.3">
      <c r="A43" s="6" t="s">
        <v>47</v>
      </c>
      <c r="B43" s="6">
        <v>38.09647123560574</v>
      </c>
      <c r="C43" s="6" t="s">
        <v>5</v>
      </c>
      <c r="D43" s="6">
        <f t="shared" si="0"/>
        <v>14.2</v>
      </c>
      <c r="E43" s="6">
        <f t="shared" si="1"/>
        <v>14.2</v>
      </c>
      <c r="F43" s="6" t="e">
        <f t="shared" si="2"/>
        <v>#N/A</v>
      </c>
      <c r="G43" s="6">
        <f t="shared" si="3"/>
        <v>38.09647123560574</v>
      </c>
      <c r="H43" s="6" t="e">
        <f t="shared" si="4"/>
        <v>#N/A</v>
      </c>
      <c r="M43" s="9">
        <f t="shared" ca="1" si="5"/>
        <v>2</v>
      </c>
      <c r="N43" s="9">
        <f t="shared" ca="1" si="6"/>
        <v>36.019406901279773</v>
      </c>
      <c r="O43" s="9" t="str">
        <f t="shared" si="7"/>
        <v>Class 2</v>
      </c>
    </row>
    <row r="44" spans="1:15" x14ac:dyDescent="0.3">
      <c r="A44" s="6" t="s">
        <v>48</v>
      </c>
      <c r="B44" s="6">
        <v>86.528425554895762</v>
      </c>
      <c r="C44" s="6" t="s">
        <v>7</v>
      </c>
      <c r="D44" s="6">
        <f t="shared" si="0"/>
        <v>17.75</v>
      </c>
      <c r="E44" s="6">
        <f t="shared" si="1"/>
        <v>17.75</v>
      </c>
      <c r="F44" s="6" t="e">
        <f t="shared" si="2"/>
        <v>#N/A</v>
      </c>
      <c r="G44" s="6" t="e">
        <f t="shared" si="3"/>
        <v>#N/A</v>
      </c>
      <c r="H44" s="6">
        <f t="shared" si="4"/>
        <v>86.528425554895762</v>
      </c>
      <c r="M44" s="9">
        <f t="shared" ca="1" si="5"/>
        <v>28</v>
      </c>
      <c r="N44" s="9">
        <f t="shared" ca="1" si="6"/>
        <v>14.399987322960262</v>
      </c>
      <c r="O44" s="9" t="str">
        <f t="shared" si="7"/>
        <v>Class 3</v>
      </c>
    </row>
    <row r="45" spans="1:15" x14ac:dyDescent="0.3">
      <c r="A45" s="6" t="s">
        <v>49</v>
      </c>
      <c r="B45" s="6">
        <v>89.889942263360567</v>
      </c>
      <c r="C45" s="6" t="s">
        <v>5</v>
      </c>
      <c r="D45" s="6">
        <f t="shared" si="0"/>
        <v>9.85</v>
      </c>
      <c r="E45" s="6">
        <f t="shared" si="1"/>
        <v>9.85</v>
      </c>
      <c r="F45" s="6" t="e">
        <f t="shared" si="2"/>
        <v>#N/A</v>
      </c>
      <c r="G45" s="6">
        <f t="shared" si="3"/>
        <v>89.889942263360567</v>
      </c>
      <c r="H45" s="6" t="e">
        <f t="shared" si="4"/>
        <v>#N/A</v>
      </c>
      <c r="M45" s="9">
        <f t="shared" ca="1" si="5"/>
        <v>16</v>
      </c>
      <c r="N45" s="9">
        <f t="shared" ca="1" si="6"/>
        <v>21.264663435115047</v>
      </c>
      <c r="O45" s="9" t="str">
        <f t="shared" si="7"/>
        <v>Class 2</v>
      </c>
    </row>
    <row r="46" spans="1:15" x14ac:dyDescent="0.3">
      <c r="A46" s="6" t="s">
        <v>50</v>
      </c>
      <c r="B46" s="6">
        <v>62.309738934981183</v>
      </c>
      <c r="C46" s="6" t="s">
        <v>12</v>
      </c>
      <c r="D46" s="6">
        <f t="shared" si="0"/>
        <v>2.5666666666666664</v>
      </c>
      <c r="E46" s="6">
        <f t="shared" si="1"/>
        <v>2.5666666666666664</v>
      </c>
      <c r="F46" s="6">
        <f t="shared" si="2"/>
        <v>62.309738934981183</v>
      </c>
      <c r="G46" s="6" t="e">
        <f t="shared" si="3"/>
        <v>#N/A</v>
      </c>
      <c r="H46" s="6" t="e">
        <f t="shared" si="4"/>
        <v>#N/A</v>
      </c>
      <c r="M46" s="9">
        <f t="shared" ca="1" si="5"/>
        <v>13</v>
      </c>
      <c r="N46" s="9">
        <f t="shared" ca="1" si="6"/>
        <v>22.956931912234008</v>
      </c>
      <c r="O46" s="9" t="str">
        <f t="shared" si="7"/>
        <v>Class 1</v>
      </c>
    </row>
    <row r="47" spans="1:15" x14ac:dyDescent="0.3">
      <c r="A47" s="6" t="s">
        <v>51</v>
      </c>
      <c r="B47" s="6">
        <v>99.616883516156022</v>
      </c>
      <c r="C47" s="6" t="s">
        <v>5</v>
      </c>
      <c r="D47" s="6">
        <f t="shared" si="0"/>
        <v>5.1166666666666671</v>
      </c>
      <c r="E47" s="6">
        <f t="shared" si="1"/>
        <v>5.1166666666666671</v>
      </c>
      <c r="F47" s="6" t="e">
        <f t="shared" si="2"/>
        <v>#N/A</v>
      </c>
      <c r="G47" s="6">
        <f t="shared" si="3"/>
        <v>99.616883516156022</v>
      </c>
      <c r="H47" s="6" t="e">
        <f t="shared" si="4"/>
        <v>#N/A</v>
      </c>
      <c r="M47" s="9">
        <f t="shared" ca="1" si="5"/>
        <v>3</v>
      </c>
      <c r="N47" s="9">
        <f t="shared" ca="1" si="6"/>
        <v>31.931846864104088</v>
      </c>
      <c r="O47" s="9" t="str">
        <f t="shared" si="7"/>
        <v>Class 2</v>
      </c>
    </row>
    <row r="48" spans="1:15" x14ac:dyDescent="0.3">
      <c r="A48" s="6" t="s">
        <v>52</v>
      </c>
      <c r="B48" s="6">
        <v>101.88315320660718</v>
      </c>
      <c r="C48" s="6" t="s">
        <v>7</v>
      </c>
      <c r="D48" s="6">
        <f t="shared" si="0"/>
        <v>-8.3333333333333037E-2</v>
      </c>
      <c r="E48" s="6">
        <f t="shared" si="1"/>
        <v>23.916666666666668</v>
      </c>
      <c r="F48" s="6" t="e">
        <f t="shared" si="2"/>
        <v>#N/A</v>
      </c>
      <c r="G48" s="6" t="e">
        <f t="shared" si="3"/>
        <v>#N/A</v>
      </c>
      <c r="H48" s="6">
        <f t="shared" si="4"/>
        <v>101.88315320660718</v>
      </c>
      <c r="M48" s="9">
        <f t="shared" ca="1" si="5"/>
        <v>4</v>
      </c>
      <c r="N48" s="9">
        <f t="shared" ca="1" si="6"/>
        <v>28.841071215231203</v>
      </c>
      <c r="O48" s="9" t="str">
        <f t="shared" si="7"/>
        <v>Class 3</v>
      </c>
    </row>
    <row r="49" spans="1:15" x14ac:dyDescent="0.3">
      <c r="A49" s="6" t="s">
        <v>53</v>
      </c>
      <c r="B49" s="6">
        <v>55.332527914897788</v>
      </c>
      <c r="C49" s="6" t="s">
        <v>5</v>
      </c>
      <c r="D49" s="6">
        <f t="shared" si="0"/>
        <v>17.183333333333334</v>
      </c>
      <c r="E49" s="6">
        <f t="shared" si="1"/>
        <v>17.183333333333334</v>
      </c>
      <c r="F49" s="6" t="e">
        <f t="shared" si="2"/>
        <v>#N/A</v>
      </c>
      <c r="G49" s="6">
        <f t="shared" si="3"/>
        <v>55.332527914897788</v>
      </c>
      <c r="H49" s="6" t="e">
        <f t="shared" si="4"/>
        <v>#N/A</v>
      </c>
      <c r="M49" s="9">
        <f t="shared" ca="1" si="5"/>
        <v>22</v>
      </c>
      <c r="N49" s="9">
        <f t="shared" ca="1" si="6"/>
        <v>18.612863441550278</v>
      </c>
      <c r="O49" s="9" t="str">
        <f t="shared" si="7"/>
        <v>Class 2</v>
      </c>
    </row>
    <row r="50" spans="1:15" x14ac:dyDescent="0.3">
      <c r="A50" s="6" t="s">
        <v>54</v>
      </c>
      <c r="B50" s="6">
        <v>52.565654884371725</v>
      </c>
      <c r="C50" s="6" t="s">
        <v>5</v>
      </c>
      <c r="D50" s="6">
        <f t="shared" si="0"/>
        <v>-2.8833333333333333</v>
      </c>
      <c r="E50" s="6">
        <f t="shared" si="1"/>
        <v>21.116666666666667</v>
      </c>
      <c r="F50" s="6" t="e">
        <f t="shared" si="2"/>
        <v>#N/A</v>
      </c>
      <c r="G50" s="6">
        <f t="shared" si="3"/>
        <v>52.565654884371725</v>
      </c>
      <c r="H50" s="6" t="e">
        <f t="shared" si="4"/>
        <v>#N/A</v>
      </c>
      <c r="M50" s="9">
        <f t="shared" ca="1" si="5"/>
        <v>19</v>
      </c>
      <c r="N50" s="9">
        <f t="shared" ca="1" si="6"/>
        <v>20.569321101151676</v>
      </c>
      <c r="O50" s="9" t="str">
        <f t="shared" si="7"/>
        <v>Class 2</v>
      </c>
    </row>
    <row r="51" spans="1:15" x14ac:dyDescent="0.3">
      <c r="A51" s="6" t="s">
        <v>55</v>
      </c>
      <c r="B51" s="6">
        <v>62.346899129872</v>
      </c>
      <c r="C51" s="6" t="s">
        <v>5</v>
      </c>
      <c r="D51" s="6">
        <f t="shared" si="0"/>
        <v>10.883333333333333</v>
      </c>
      <c r="E51" s="6">
        <f t="shared" si="1"/>
        <v>10.883333333333333</v>
      </c>
      <c r="F51" s="6" t="e">
        <f t="shared" si="2"/>
        <v>#N/A</v>
      </c>
      <c r="G51" s="6">
        <f t="shared" si="3"/>
        <v>62.346899129872</v>
      </c>
      <c r="H51" s="6" t="e">
        <f t="shared" si="4"/>
        <v>#N/A</v>
      </c>
      <c r="M51" s="9">
        <f t="shared" ca="1" si="5"/>
        <v>26</v>
      </c>
      <c r="N51" s="9">
        <f t="shared" ca="1" si="6"/>
        <v>16.062705417073296</v>
      </c>
      <c r="O51" s="9" t="str">
        <f t="shared" si="7"/>
        <v>Class 2</v>
      </c>
    </row>
  </sheetData>
  <mergeCells count="6">
    <mergeCell ref="W1:X1"/>
    <mergeCell ref="A1:H1"/>
    <mergeCell ref="J1:K1"/>
    <mergeCell ref="M1:O1"/>
    <mergeCell ref="Q1:R1"/>
    <mergeCell ref="T1:U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1CC3F-E38D-4DBA-9468-204A2C1B90EE}">
  <sheetPr codeName="Sheet2"/>
  <dimension ref="A1:X51"/>
  <sheetViews>
    <sheetView tabSelected="1" topLeftCell="F10" workbookViewId="0">
      <selection activeCell="AD11" sqref="AD11"/>
    </sheetView>
  </sheetViews>
  <sheetFormatPr defaultRowHeight="14.4" x14ac:dyDescent="0.3"/>
  <cols>
    <col min="9" max="9" width="2.88671875" style="1" customWidth="1"/>
    <col min="12" max="12" width="3.44140625" style="1" customWidth="1"/>
    <col min="16" max="16" width="3.6640625" style="1" customWidth="1"/>
    <col min="19" max="19" width="3.33203125" style="1" customWidth="1"/>
    <col min="22" max="22" width="4.21875" style="1" customWidth="1"/>
  </cols>
  <sheetData>
    <row r="1" spans="1:24" s="3" customFormat="1" x14ac:dyDescent="0.3">
      <c r="A1" s="24" t="s">
        <v>0</v>
      </c>
      <c r="B1" s="24"/>
      <c r="C1" s="24"/>
      <c r="D1" s="24"/>
      <c r="E1" s="24"/>
      <c r="F1" s="24"/>
      <c r="G1" s="24"/>
      <c r="H1" s="24"/>
      <c r="I1" s="2"/>
      <c r="J1" s="24" t="s">
        <v>58</v>
      </c>
      <c r="K1" s="24"/>
      <c r="L1" s="2"/>
      <c r="M1" s="24" t="s">
        <v>119</v>
      </c>
      <c r="N1" s="24"/>
      <c r="O1" s="24"/>
      <c r="P1" s="2"/>
      <c r="Q1" s="24" t="s">
        <v>62</v>
      </c>
      <c r="R1" s="24"/>
      <c r="S1" s="2"/>
      <c r="T1" s="24" t="s">
        <v>65</v>
      </c>
      <c r="U1" s="24"/>
      <c r="V1" s="2" t="s">
        <v>68</v>
      </c>
      <c r="W1" s="24" t="s">
        <v>67</v>
      </c>
      <c r="X1" s="24"/>
    </row>
    <row r="2" spans="1:24" s="4" customFormat="1" x14ac:dyDescent="0.3">
      <c r="A2" s="5" t="s">
        <v>1</v>
      </c>
      <c r="B2" s="5" t="s">
        <v>2</v>
      </c>
      <c r="C2" s="5" t="s">
        <v>3</v>
      </c>
      <c r="D2" s="5"/>
      <c r="E2" s="5" t="s">
        <v>57</v>
      </c>
      <c r="F2" s="5" t="s">
        <v>12</v>
      </c>
      <c r="G2" s="5" t="s">
        <v>5</v>
      </c>
      <c r="H2" s="5" t="s">
        <v>7</v>
      </c>
      <c r="I2" s="2"/>
      <c r="J2" s="11"/>
      <c r="K2" s="11"/>
      <c r="L2" s="2"/>
      <c r="M2" s="5" t="s">
        <v>59</v>
      </c>
      <c r="N2" s="5" t="s">
        <v>60</v>
      </c>
      <c r="O2" s="5" t="s">
        <v>61</v>
      </c>
      <c r="P2" s="2"/>
      <c r="Q2" s="5" t="s">
        <v>63</v>
      </c>
      <c r="R2" s="5" t="s">
        <v>61</v>
      </c>
      <c r="S2" s="2"/>
      <c r="T2" s="5" t="s">
        <v>66</v>
      </c>
      <c r="U2" s="5" t="s">
        <v>61</v>
      </c>
      <c r="V2" s="2"/>
      <c r="W2" s="5" t="s">
        <v>66</v>
      </c>
      <c r="X2" s="5" t="s">
        <v>61</v>
      </c>
    </row>
    <row r="3" spans="1:24" x14ac:dyDescent="0.3">
      <c r="A3" s="6" t="s">
        <v>69</v>
      </c>
      <c r="B3" s="6">
        <v>62.115722717804424</v>
      </c>
      <c r="C3" s="6" t="s">
        <v>12</v>
      </c>
      <c r="D3" s="6">
        <f>HOUR(A3)+MINUTE(A3)/60 - 6</f>
        <v>12.45</v>
      </c>
      <c r="E3" s="6">
        <f>IF(D3&lt;0,D3+24,D3)</f>
        <v>12.45</v>
      </c>
      <c r="F3" s="6">
        <f>IF($F$2=C3,B3,NA())</f>
        <v>62.115722717804424</v>
      </c>
      <c r="G3" s="6" t="e">
        <f>IF($G$2=C3,B3,NA())</f>
        <v>#N/A</v>
      </c>
      <c r="H3" s="6" t="e">
        <f>IF($H$2=C3,B3,NA())</f>
        <v>#N/A</v>
      </c>
      <c r="J3" s="8" t="s">
        <v>1</v>
      </c>
      <c r="K3" s="7" t="str">
        <f ca="1">TEXT(RAND(),"HH:MM:SS")</f>
        <v>19:25:31</v>
      </c>
      <c r="M3" s="9">
        <f ca="1">RANK(N3,$N$3:$N$51)</f>
        <v>47</v>
      </c>
      <c r="N3" s="9">
        <f ca="1">SQRT(($K$4-B3)^2+($K$7-E3)^2)</f>
        <v>4.1481071022489351</v>
      </c>
      <c r="O3" s="9" t="str">
        <f>C3</f>
        <v>Class 1</v>
      </c>
      <c r="Q3" s="10">
        <v>1</v>
      </c>
      <c r="R3" s="10" t="str">
        <f ca="1">VLOOKUP(Q3,$M$3:$O$51,3,FALSE)</f>
        <v>Class 3</v>
      </c>
      <c r="T3" s="10">
        <v>1</v>
      </c>
      <c r="U3" s="10" t="str">
        <f ca="1">VLOOKUP(T3,$M$3:$O$51,3,FALSE)</f>
        <v>Class 3</v>
      </c>
      <c r="W3" s="10">
        <v>1</v>
      </c>
      <c r="X3" s="10" t="str">
        <f ca="1">VLOOKUP(W3,$M$3:$O$51,3,FALSE)</f>
        <v>Class 3</v>
      </c>
    </row>
    <row r="4" spans="1:24" x14ac:dyDescent="0.3">
      <c r="A4" s="6" t="s">
        <v>70</v>
      </c>
      <c r="B4" s="6">
        <v>60.62804902683537</v>
      </c>
      <c r="C4" s="6" t="s">
        <v>7</v>
      </c>
      <c r="D4" s="6">
        <f t="shared" ref="D4:D51" si="0">HOUR(A4)+MINUTE(A4)/60 - 6</f>
        <v>-5.5333333333333332</v>
      </c>
      <c r="E4" s="6">
        <f t="shared" ref="E4:E51" si="1">IF(D4&lt;0,D4+24,D4)</f>
        <v>18.466666666666669</v>
      </c>
      <c r="F4" s="6" t="e">
        <f t="shared" ref="F4:F51" si="2">IF($F$2=C4,B4,NA())</f>
        <v>#N/A</v>
      </c>
      <c r="G4" s="6" t="e">
        <f t="shared" ref="G4:G51" si="3">IF($G$2=C4,B4,NA())</f>
        <v>#N/A</v>
      </c>
      <c r="H4" s="6">
        <f t="shared" ref="H4:H51" si="4">IF($H$2=C4,B4,NA())</f>
        <v>60.62804902683537</v>
      </c>
      <c r="J4" s="8" t="s">
        <v>2</v>
      </c>
      <c r="K4" s="7">
        <f ca="1">NORMINV(RAND(),65,15)</f>
        <v>66.149622578644255</v>
      </c>
      <c r="M4" s="9">
        <f t="shared" ref="M4:M51" ca="1" si="5">RANK(N4,$N$3:$N$51)</f>
        <v>42</v>
      </c>
      <c r="N4" s="9">
        <f t="shared" ref="N4:N51" ca="1" si="6">SQRT(($K$4-B4)^2+($K$7-E4)^2)</f>
        <v>7.4826649322307217</v>
      </c>
      <c r="O4" s="9" t="str">
        <f t="shared" ref="O4:O51" si="7">C4</f>
        <v>Class 3</v>
      </c>
      <c r="Q4" s="10">
        <v>2</v>
      </c>
      <c r="R4" s="10" t="str">
        <f t="shared" ref="R4:R5" ca="1" si="8">VLOOKUP(Q4,$M$3:$O$51,3,FALSE)</f>
        <v>Class 3</v>
      </c>
      <c r="T4" s="10">
        <v>2</v>
      </c>
      <c r="U4" s="10" t="str">
        <f t="shared" ref="U4:U7" ca="1" si="9">VLOOKUP(T4,$M$3:$O$51,3,FALSE)</f>
        <v>Class 3</v>
      </c>
      <c r="W4" s="10">
        <v>2</v>
      </c>
      <c r="X4" s="10" t="str">
        <f t="shared" ref="X4:X9" ca="1" si="10">VLOOKUP(W4,$M$3:$O$51,3,FALSE)</f>
        <v>Class 3</v>
      </c>
    </row>
    <row r="5" spans="1:24" x14ac:dyDescent="0.3">
      <c r="A5" s="6" t="s">
        <v>71</v>
      </c>
      <c r="B5" s="6">
        <v>77.065015648604529</v>
      </c>
      <c r="C5" s="6" t="s">
        <v>5</v>
      </c>
      <c r="D5" s="6">
        <f t="shared" si="0"/>
        <v>7.6166666666666671</v>
      </c>
      <c r="E5" s="6">
        <f t="shared" si="1"/>
        <v>7.6166666666666671</v>
      </c>
      <c r="F5" s="6" t="e">
        <f t="shared" si="2"/>
        <v>#N/A</v>
      </c>
      <c r="G5" s="6">
        <f t="shared" si="3"/>
        <v>77.065015648604529</v>
      </c>
      <c r="H5" s="6" t="e">
        <f t="shared" si="4"/>
        <v>#N/A</v>
      </c>
      <c r="M5" s="9">
        <f t="shared" ca="1" si="5"/>
        <v>26</v>
      </c>
      <c r="N5" s="9">
        <f t="shared" ca="1" si="6"/>
        <v>12.360655559950564</v>
      </c>
      <c r="O5" s="9" t="str">
        <f t="shared" si="7"/>
        <v>Class 2</v>
      </c>
      <c r="Q5" s="10">
        <v>3</v>
      </c>
      <c r="R5" s="10" t="str">
        <f t="shared" ca="1" si="8"/>
        <v>Class 1</v>
      </c>
      <c r="T5" s="10">
        <v>3</v>
      </c>
      <c r="U5" s="10" t="str">
        <f t="shared" ca="1" si="9"/>
        <v>Class 1</v>
      </c>
      <c r="W5" s="10">
        <v>3</v>
      </c>
      <c r="X5" s="10" t="str">
        <f t="shared" ca="1" si="10"/>
        <v>Class 1</v>
      </c>
    </row>
    <row r="6" spans="1:24" x14ac:dyDescent="0.3">
      <c r="A6" s="6" t="s">
        <v>72</v>
      </c>
      <c r="B6" s="6">
        <v>55.665752183995316</v>
      </c>
      <c r="C6" s="6" t="s">
        <v>7</v>
      </c>
      <c r="D6" s="6">
        <f t="shared" si="0"/>
        <v>-2.4833333333333334</v>
      </c>
      <c r="E6" s="6">
        <f t="shared" si="1"/>
        <v>21.516666666666666</v>
      </c>
      <c r="F6" s="6" t="e">
        <f t="shared" si="2"/>
        <v>#N/A</v>
      </c>
      <c r="G6" s="6" t="e">
        <f t="shared" si="3"/>
        <v>#N/A</v>
      </c>
      <c r="H6" s="6">
        <f t="shared" si="4"/>
        <v>55.665752183995316</v>
      </c>
      <c r="J6" s="8" t="s">
        <v>56</v>
      </c>
      <c r="K6" s="7">
        <f ca="1">HOUR(K3)+MINUTE(K3)/60 - 6</f>
        <v>13.416666666666668</v>
      </c>
      <c r="M6" s="9">
        <f t="shared" ca="1" si="5"/>
        <v>25</v>
      </c>
      <c r="N6" s="9">
        <f t="shared" ca="1" si="6"/>
        <v>13.248454191029097</v>
      </c>
      <c r="O6" s="9" t="str">
        <f t="shared" si="7"/>
        <v>Class 3</v>
      </c>
      <c r="T6" s="10">
        <v>4</v>
      </c>
      <c r="U6" s="10" t="str">
        <f t="shared" ca="1" si="9"/>
        <v>Class 1</v>
      </c>
      <c r="W6" s="10">
        <v>4</v>
      </c>
      <c r="X6" s="10" t="str">
        <f t="shared" ca="1" si="10"/>
        <v>Class 1</v>
      </c>
    </row>
    <row r="7" spans="1:24" x14ac:dyDescent="0.3">
      <c r="A7" s="6" t="s">
        <v>73</v>
      </c>
      <c r="B7" s="6">
        <v>71.549557577532738</v>
      </c>
      <c r="C7" s="6" t="s">
        <v>7</v>
      </c>
      <c r="D7" s="6">
        <f t="shared" si="0"/>
        <v>17.216666666666665</v>
      </c>
      <c r="E7" s="6">
        <f t="shared" si="1"/>
        <v>17.216666666666665</v>
      </c>
      <c r="F7" s="6" t="e">
        <f t="shared" si="2"/>
        <v>#N/A</v>
      </c>
      <c r="G7" s="6" t="e">
        <f t="shared" si="3"/>
        <v>#N/A</v>
      </c>
      <c r="H7" s="6">
        <f t="shared" si="4"/>
        <v>71.549557577532738</v>
      </c>
      <c r="J7" s="8" t="s">
        <v>57</v>
      </c>
      <c r="K7" s="7">
        <f ca="1">IF(K6&lt;0,K6+24,K6)</f>
        <v>13.416666666666668</v>
      </c>
      <c r="M7" s="9">
        <f t="shared" ca="1" si="5"/>
        <v>44</v>
      </c>
      <c r="N7" s="9">
        <f t="shared" ca="1" si="6"/>
        <v>6.6029764494673717</v>
      </c>
      <c r="O7" s="9" t="str">
        <f t="shared" si="7"/>
        <v>Class 3</v>
      </c>
      <c r="T7" s="10">
        <v>5</v>
      </c>
      <c r="U7" s="10" t="str">
        <f t="shared" ca="1" si="9"/>
        <v>Class 2</v>
      </c>
      <c r="W7" s="10">
        <v>5</v>
      </c>
      <c r="X7" s="10" t="str">
        <f t="shared" ca="1" si="10"/>
        <v>Class 2</v>
      </c>
    </row>
    <row r="8" spans="1:24" x14ac:dyDescent="0.3">
      <c r="A8" s="6" t="s">
        <v>74</v>
      </c>
      <c r="B8" s="6">
        <v>44.374201337938558</v>
      </c>
      <c r="C8" s="6" t="s">
        <v>12</v>
      </c>
      <c r="D8" s="6">
        <f t="shared" si="0"/>
        <v>12.033333333333335</v>
      </c>
      <c r="E8" s="6">
        <f t="shared" si="1"/>
        <v>12.033333333333335</v>
      </c>
      <c r="F8" s="6">
        <f t="shared" si="2"/>
        <v>44.374201337938558</v>
      </c>
      <c r="G8" s="6" t="e">
        <f t="shared" si="3"/>
        <v>#N/A</v>
      </c>
      <c r="H8" s="6" t="e">
        <f t="shared" si="4"/>
        <v>#N/A</v>
      </c>
      <c r="M8" s="9">
        <f t="shared" ca="1" si="5"/>
        <v>9</v>
      </c>
      <c r="N8" s="9">
        <f t="shared" ca="1" si="6"/>
        <v>21.819316701521338</v>
      </c>
      <c r="O8" s="9" t="str">
        <f t="shared" si="7"/>
        <v>Class 1</v>
      </c>
      <c r="W8" s="10">
        <v>6</v>
      </c>
      <c r="X8" s="10" t="str">
        <f t="shared" ca="1" si="10"/>
        <v>Class 2</v>
      </c>
    </row>
    <row r="9" spans="1:24" x14ac:dyDescent="0.3">
      <c r="A9" s="6" t="s">
        <v>75</v>
      </c>
      <c r="B9" s="6">
        <v>54.790305289206124</v>
      </c>
      <c r="C9" s="6" t="s">
        <v>7</v>
      </c>
      <c r="D9" s="6">
        <f t="shared" si="0"/>
        <v>-1.6833333333333336</v>
      </c>
      <c r="E9" s="6">
        <f t="shared" si="1"/>
        <v>22.316666666666666</v>
      </c>
      <c r="F9" s="6" t="e">
        <f t="shared" si="2"/>
        <v>#N/A</v>
      </c>
      <c r="G9" s="6" t="e">
        <f t="shared" si="3"/>
        <v>#N/A</v>
      </c>
      <c r="H9" s="6">
        <f t="shared" si="4"/>
        <v>54.790305289206124</v>
      </c>
      <c r="M9" s="9">
        <f t="shared" ca="1" si="5"/>
        <v>21</v>
      </c>
      <c r="N9" s="9">
        <f t="shared" ca="1" si="6"/>
        <v>14.43066489397242</v>
      </c>
      <c r="O9" s="9" t="str">
        <f t="shared" si="7"/>
        <v>Class 3</v>
      </c>
      <c r="W9" s="10">
        <v>7</v>
      </c>
      <c r="X9" s="10" t="str">
        <f t="shared" ca="1" si="10"/>
        <v>Class 2</v>
      </c>
    </row>
    <row r="10" spans="1:24" x14ac:dyDescent="0.3">
      <c r="A10" s="6" t="s">
        <v>76</v>
      </c>
      <c r="B10" s="6">
        <v>55.649977487819136</v>
      </c>
      <c r="C10" s="6" t="s">
        <v>12</v>
      </c>
      <c r="D10" s="6">
        <f t="shared" si="0"/>
        <v>14</v>
      </c>
      <c r="E10" s="6">
        <f t="shared" si="1"/>
        <v>14</v>
      </c>
      <c r="F10" s="6">
        <f t="shared" si="2"/>
        <v>55.649977487819136</v>
      </c>
      <c r="G10" s="6" t="e">
        <f t="shared" si="3"/>
        <v>#N/A</v>
      </c>
      <c r="H10" s="6" t="e">
        <f t="shared" si="4"/>
        <v>#N/A</v>
      </c>
      <c r="J10" t="s">
        <v>56</v>
      </c>
      <c r="M10" s="9">
        <f t="shared" ca="1" si="5"/>
        <v>36</v>
      </c>
      <c r="N10" s="9">
        <f t="shared" ca="1" si="6"/>
        <v>10.515836857381622</v>
      </c>
      <c r="O10" s="9" t="str">
        <f t="shared" si="7"/>
        <v>Class 1</v>
      </c>
    </row>
    <row r="11" spans="1:24" x14ac:dyDescent="0.3">
      <c r="A11" s="6" t="s">
        <v>77</v>
      </c>
      <c r="B11" s="6">
        <v>83.000003488112739</v>
      </c>
      <c r="C11" s="6" t="s">
        <v>7</v>
      </c>
      <c r="D11" s="6">
        <f t="shared" si="0"/>
        <v>15.600000000000001</v>
      </c>
      <c r="E11" s="6">
        <f t="shared" si="1"/>
        <v>15.600000000000001</v>
      </c>
      <c r="F11" s="6" t="e">
        <f t="shared" si="2"/>
        <v>#N/A</v>
      </c>
      <c r="G11" s="6" t="e">
        <f t="shared" si="3"/>
        <v>#N/A</v>
      </c>
      <c r="H11" s="6">
        <f t="shared" si="4"/>
        <v>83.000003488112739</v>
      </c>
      <c r="M11" s="9">
        <f t="shared" ca="1" si="5"/>
        <v>15</v>
      </c>
      <c r="N11" s="9">
        <f t="shared" ca="1" si="6"/>
        <v>16.991241309528402</v>
      </c>
      <c r="O11" s="9" t="str">
        <f t="shared" si="7"/>
        <v>Class 3</v>
      </c>
      <c r="Q11" s="8" t="s">
        <v>64</v>
      </c>
      <c r="R11" s="8" t="str">
        <f ca="1">INDEX(R3:R5,MODE(MATCH(R3:R5,R3:R5,0)))</f>
        <v>Class 3</v>
      </c>
      <c r="S11" s="2"/>
      <c r="T11" s="8" t="s">
        <v>64</v>
      </c>
      <c r="U11" s="8" t="str">
        <f ca="1">INDEX(U3:U7,MODE(MATCH(U3:U7,U3:U7,0)))</f>
        <v>Class 3</v>
      </c>
      <c r="V11" s="2"/>
      <c r="W11" s="8" t="s">
        <v>64</v>
      </c>
      <c r="X11" s="8" t="str">
        <f ca="1">INDEX(X3:X9,MODE(MATCH(X3:X9,X3:X9,0)))</f>
        <v>Class 2</v>
      </c>
    </row>
    <row r="12" spans="1:24" x14ac:dyDescent="0.3">
      <c r="A12" s="6" t="s">
        <v>78</v>
      </c>
      <c r="B12" s="6">
        <v>73.838147286273937</v>
      </c>
      <c r="C12" s="6" t="s">
        <v>118</v>
      </c>
      <c r="D12" s="6">
        <f t="shared" si="0"/>
        <v>10.25</v>
      </c>
      <c r="E12" s="6">
        <f t="shared" si="1"/>
        <v>10.25</v>
      </c>
      <c r="F12" s="6" t="e">
        <f t="shared" si="2"/>
        <v>#N/A</v>
      </c>
      <c r="G12" s="6" t="e">
        <f t="shared" si="3"/>
        <v>#N/A</v>
      </c>
      <c r="H12" s="6" t="e">
        <f t="shared" si="4"/>
        <v>#N/A</v>
      </c>
      <c r="M12" s="9">
        <f t="shared" ca="1" si="5"/>
        <v>40</v>
      </c>
      <c r="N12" s="9">
        <f t="shared" ca="1" si="6"/>
        <v>8.3151181565633738</v>
      </c>
      <c r="O12" s="9" t="str">
        <f t="shared" si="7"/>
        <v>Class2</v>
      </c>
      <c r="Q12" s="8"/>
      <c r="R12" s="8" t="str">
        <f ca="1">_xlfn.IFNA(R11,R3)</f>
        <v>Class 3</v>
      </c>
      <c r="S12" s="2"/>
      <c r="T12" s="8"/>
      <c r="U12" s="8" t="str">
        <f ca="1">_xlfn.IFNA(U11,INDEX(U3:U6,MODE(MATCH(U3:U6,U3:U6,0))))</f>
        <v>Class 3</v>
      </c>
      <c r="V12" s="2"/>
      <c r="W12" s="8"/>
      <c r="X12" s="8" t="str">
        <f ca="1">_xlfn.IFNA(X11,INDEX(X3:X8,MODE(MATCH(X3:X8,X3:X8,0))))</f>
        <v>Class 2</v>
      </c>
    </row>
    <row r="13" spans="1:24" x14ac:dyDescent="0.3">
      <c r="A13" s="6" t="s">
        <v>79</v>
      </c>
      <c r="B13" s="6">
        <v>79.254538382744386</v>
      </c>
      <c r="C13" s="6" t="s">
        <v>5</v>
      </c>
      <c r="D13" s="6">
        <f t="shared" si="0"/>
        <v>7.1666666666666661</v>
      </c>
      <c r="E13" s="6">
        <f t="shared" si="1"/>
        <v>7.1666666666666661</v>
      </c>
      <c r="F13" s="6" t="e">
        <f t="shared" si="2"/>
        <v>#N/A</v>
      </c>
      <c r="G13" s="6">
        <f t="shared" si="3"/>
        <v>79.254538382744386</v>
      </c>
      <c r="H13" s="6" t="e">
        <f t="shared" si="4"/>
        <v>#N/A</v>
      </c>
      <c r="M13" s="9">
        <f t="shared" ca="1" si="5"/>
        <v>20</v>
      </c>
      <c r="N13" s="9">
        <f t="shared" ca="1" si="6"/>
        <v>14.518998527190275</v>
      </c>
      <c r="O13" s="9" t="str">
        <f t="shared" si="7"/>
        <v>Class 2</v>
      </c>
    </row>
    <row r="14" spans="1:24" x14ac:dyDescent="0.3">
      <c r="A14" s="6" t="s">
        <v>80</v>
      </c>
      <c r="B14" s="6">
        <v>53.45487025105048</v>
      </c>
      <c r="C14" s="6" t="s">
        <v>12</v>
      </c>
      <c r="D14" s="6">
        <f t="shared" si="0"/>
        <v>-4.8499999999999996</v>
      </c>
      <c r="E14" s="6">
        <f t="shared" si="1"/>
        <v>19.149999999999999</v>
      </c>
      <c r="F14" s="6">
        <f t="shared" si="2"/>
        <v>53.45487025105048</v>
      </c>
      <c r="G14" s="6" t="e">
        <f t="shared" si="3"/>
        <v>#N/A</v>
      </c>
      <c r="H14" s="6" t="e">
        <f t="shared" si="4"/>
        <v>#N/A</v>
      </c>
      <c r="K14" t="s">
        <v>56</v>
      </c>
      <c r="M14" s="9">
        <f t="shared" ca="1" si="5"/>
        <v>22</v>
      </c>
      <c r="N14" s="9">
        <f t="shared" ca="1" si="6"/>
        <v>13.929387917997641</v>
      </c>
      <c r="O14" s="9" t="str">
        <f t="shared" si="7"/>
        <v>Class 1</v>
      </c>
    </row>
    <row r="15" spans="1:24" x14ac:dyDescent="0.3">
      <c r="A15" s="6" t="s">
        <v>81</v>
      </c>
      <c r="B15" s="6">
        <v>71.934481851551581</v>
      </c>
      <c r="C15" s="6" t="s">
        <v>7</v>
      </c>
      <c r="D15" s="6">
        <f t="shared" si="0"/>
        <v>-0.58333333333333304</v>
      </c>
      <c r="E15" s="6">
        <f t="shared" si="1"/>
        <v>23.416666666666668</v>
      </c>
      <c r="F15" s="6" t="e">
        <f t="shared" si="2"/>
        <v>#N/A</v>
      </c>
      <c r="G15" s="6" t="e">
        <f t="shared" si="3"/>
        <v>#N/A</v>
      </c>
      <c r="H15" s="6">
        <f t="shared" si="4"/>
        <v>71.934481851551581</v>
      </c>
      <c r="M15" s="9">
        <f t="shared" ca="1" si="5"/>
        <v>30</v>
      </c>
      <c r="N15" s="9">
        <f t="shared" ca="1" si="6"/>
        <v>11.55268786072496</v>
      </c>
      <c r="O15" s="9" t="str">
        <f t="shared" si="7"/>
        <v>Class 3</v>
      </c>
    </row>
    <row r="16" spans="1:24" x14ac:dyDescent="0.3">
      <c r="A16" s="6" t="s">
        <v>82</v>
      </c>
      <c r="B16" s="6">
        <v>65.664703095645322</v>
      </c>
      <c r="C16" s="6" t="s">
        <v>12</v>
      </c>
      <c r="D16" s="6">
        <f t="shared" si="0"/>
        <v>2.9333333333333336</v>
      </c>
      <c r="E16" s="6">
        <f t="shared" si="1"/>
        <v>2.9333333333333336</v>
      </c>
      <c r="F16" s="6">
        <f t="shared" si="2"/>
        <v>65.664703095645322</v>
      </c>
      <c r="G16" s="6" t="e">
        <f t="shared" si="3"/>
        <v>#N/A</v>
      </c>
      <c r="H16" s="6" t="e">
        <f t="shared" si="4"/>
        <v>#N/A</v>
      </c>
      <c r="M16" s="9">
        <f t="shared" ca="1" si="5"/>
        <v>37</v>
      </c>
      <c r="N16" s="9">
        <f t="shared" ca="1" si="6"/>
        <v>10.494542614271941</v>
      </c>
      <c r="O16" s="9" t="str">
        <f t="shared" si="7"/>
        <v>Class 1</v>
      </c>
    </row>
    <row r="17" spans="1:15" x14ac:dyDescent="0.3">
      <c r="A17" s="6" t="s">
        <v>83</v>
      </c>
      <c r="B17" s="6">
        <v>48.539286016601913</v>
      </c>
      <c r="C17" s="6" t="s">
        <v>5</v>
      </c>
      <c r="D17" s="6">
        <f t="shared" si="0"/>
        <v>-2.8666666666666667</v>
      </c>
      <c r="E17" s="6">
        <f t="shared" si="1"/>
        <v>21.133333333333333</v>
      </c>
      <c r="F17" s="6" t="e">
        <f t="shared" si="2"/>
        <v>#N/A</v>
      </c>
      <c r="G17" s="6">
        <f t="shared" si="3"/>
        <v>48.539286016601913</v>
      </c>
      <c r="H17" s="6" t="e">
        <f t="shared" si="4"/>
        <v>#N/A</v>
      </c>
      <c r="M17" s="9">
        <f t="shared" ca="1" si="5"/>
        <v>10</v>
      </c>
      <c r="N17" s="9">
        <f t="shared" ca="1" si="6"/>
        <v>19.226827566524065</v>
      </c>
      <c r="O17" s="9" t="str">
        <f t="shared" si="7"/>
        <v>Class 2</v>
      </c>
    </row>
    <row r="18" spans="1:15" x14ac:dyDescent="0.3">
      <c r="A18" s="6" t="s">
        <v>84</v>
      </c>
      <c r="B18" s="6">
        <v>40.824461038885282</v>
      </c>
      <c r="C18" s="6" t="s">
        <v>12</v>
      </c>
      <c r="D18" s="6">
        <f t="shared" si="0"/>
        <v>9.5833333333333339</v>
      </c>
      <c r="E18" s="6">
        <f t="shared" si="1"/>
        <v>9.5833333333333339</v>
      </c>
      <c r="F18" s="6">
        <f t="shared" si="2"/>
        <v>40.824461038885282</v>
      </c>
      <c r="G18" s="6" t="e">
        <f t="shared" si="3"/>
        <v>#N/A</v>
      </c>
      <c r="H18" s="6" t="e">
        <f t="shared" si="4"/>
        <v>#N/A</v>
      </c>
      <c r="M18" s="9">
        <f t="shared" ca="1" si="5"/>
        <v>4</v>
      </c>
      <c r="N18" s="9">
        <f t="shared" ca="1" si="6"/>
        <v>25.613634093180366</v>
      </c>
      <c r="O18" s="9" t="str">
        <f t="shared" si="7"/>
        <v>Class 1</v>
      </c>
    </row>
    <row r="19" spans="1:15" x14ac:dyDescent="0.3">
      <c r="A19" s="6" t="s">
        <v>85</v>
      </c>
      <c r="B19" s="6">
        <v>40.171530281534984</v>
      </c>
      <c r="C19" s="6" t="s">
        <v>12</v>
      </c>
      <c r="D19" s="6">
        <f t="shared" si="0"/>
        <v>10.75</v>
      </c>
      <c r="E19" s="6">
        <f t="shared" si="1"/>
        <v>10.75</v>
      </c>
      <c r="F19" s="6">
        <f t="shared" si="2"/>
        <v>40.171530281534984</v>
      </c>
      <c r="G19" s="6" t="e">
        <f t="shared" si="3"/>
        <v>#N/A</v>
      </c>
      <c r="H19" s="6" t="e">
        <f t="shared" si="4"/>
        <v>#N/A</v>
      </c>
      <c r="M19" s="9">
        <f t="shared" ca="1" si="5"/>
        <v>3</v>
      </c>
      <c r="N19" s="9">
        <f t="shared" ca="1" si="6"/>
        <v>26.114601098011033</v>
      </c>
      <c r="O19" s="9" t="str">
        <f t="shared" si="7"/>
        <v>Class 1</v>
      </c>
    </row>
    <row r="20" spans="1:15" x14ac:dyDescent="0.3">
      <c r="A20" s="6" t="s">
        <v>86</v>
      </c>
      <c r="B20" s="6">
        <v>55.078286709323237</v>
      </c>
      <c r="C20" s="6" t="s">
        <v>12</v>
      </c>
      <c r="D20" s="6">
        <f t="shared" si="0"/>
        <v>11.866666666666667</v>
      </c>
      <c r="E20" s="6">
        <f t="shared" si="1"/>
        <v>11.866666666666667</v>
      </c>
      <c r="F20" s="6">
        <f t="shared" si="2"/>
        <v>55.078286709323237</v>
      </c>
      <c r="G20" s="6" t="e">
        <f t="shared" si="3"/>
        <v>#N/A</v>
      </c>
      <c r="H20" s="6" t="e">
        <f t="shared" si="4"/>
        <v>#N/A</v>
      </c>
      <c r="M20" s="9">
        <f t="shared" ca="1" si="5"/>
        <v>33</v>
      </c>
      <c r="N20" s="9">
        <f t="shared" ca="1" si="6"/>
        <v>11.179310261877259</v>
      </c>
      <c r="O20" s="9" t="str">
        <f t="shared" si="7"/>
        <v>Class 1</v>
      </c>
    </row>
    <row r="21" spans="1:15" x14ac:dyDescent="0.3">
      <c r="A21" s="6" t="s">
        <v>87</v>
      </c>
      <c r="B21" s="6">
        <v>43.36581584344551</v>
      </c>
      <c r="C21" s="6" t="s">
        <v>5</v>
      </c>
      <c r="D21" s="6">
        <f t="shared" si="0"/>
        <v>-4.6833333333333336</v>
      </c>
      <c r="E21" s="6">
        <f t="shared" si="1"/>
        <v>19.316666666666666</v>
      </c>
      <c r="F21" s="6" t="e">
        <f t="shared" si="2"/>
        <v>#N/A</v>
      </c>
      <c r="G21" s="6">
        <f t="shared" si="3"/>
        <v>43.36581584344551</v>
      </c>
      <c r="H21" s="6" t="e">
        <f t="shared" si="4"/>
        <v>#N/A</v>
      </c>
      <c r="M21" s="9">
        <f t="shared" ca="1" si="5"/>
        <v>8</v>
      </c>
      <c r="N21" s="9">
        <f t="shared" ca="1" si="6"/>
        <v>23.535331936195156</v>
      </c>
      <c r="O21" s="9" t="str">
        <f t="shared" si="7"/>
        <v>Class 2</v>
      </c>
    </row>
    <row r="22" spans="1:15" x14ac:dyDescent="0.3">
      <c r="A22" s="6" t="s">
        <v>88</v>
      </c>
      <c r="B22" s="6">
        <v>83.648126241382414</v>
      </c>
      <c r="C22" s="6" t="s">
        <v>5</v>
      </c>
      <c r="D22" s="6">
        <f t="shared" si="0"/>
        <v>5.6666666666666661</v>
      </c>
      <c r="E22" s="6">
        <f t="shared" si="1"/>
        <v>5.6666666666666661</v>
      </c>
      <c r="F22" s="6" t="e">
        <f t="shared" si="2"/>
        <v>#N/A</v>
      </c>
      <c r="G22" s="6">
        <f t="shared" si="3"/>
        <v>83.648126241382414</v>
      </c>
      <c r="H22" s="6" t="e">
        <f t="shared" si="4"/>
        <v>#N/A</v>
      </c>
      <c r="M22" s="9">
        <f t="shared" ca="1" si="5"/>
        <v>11</v>
      </c>
      <c r="N22" s="9">
        <f t="shared" ca="1" si="6"/>
        <v>19.13792387995262</v>
      </c>
      <c r="O22" s="9" t="str">
        <f t="shared" si="7"/>
        <v>Class 2</v>
      </c>
    </row>
    <row r="23" spans="1:15" x14ac:dyDescent="0.3">
      <c r="A23" s="6" t="s">
        <v>89</v>
      </c>
      <c r="B23" s="6">
        <v>76.631389733508598</v>
      </c>
      <c r="C23" s="6" t="s">
        <v>5</v>
      </c>
      <c r="D23" s="6">
        <f t="shared" si="0"/>
        <v>11.133333333333333</v>
      </c>
      <c r="E23" s="6">
        <f t="shared" si="1"/>
        <v>11.133333333333333</v>
      </c>
      <c r="F23" s="6" t="e">
        <f t="shared" si="2"/>
        <v>#N/A</v>
      </c>
      <c r="G23" s="6">
        <f t="shared" si="3"/>
        <v>76.631389733508598</v>
      </c>
      <c r="H23" s="6" t="e">
        <f t="shared" si="4"/>
        <v>#N/A</v>
      </c>
      <c r="M23" s="9">
        <f t="shared" ca="1" si="5"/>
        <v>34</v>
      </c>
      <c r="N23" s="9">
        <f t="shared" ca="1" si="6"/>
        <v>10.72758378200348</v>
      </c>
      <c r="O23" s="9" t="str">
        <f t="shared" si="7"/>
        <v>Class 2</v>
      </c>
    </row>
    <row r="24" spans="1:15" x14ac:dyDescent="0.3">
      <c r="A24" s="6" t="s">
        <v>90</v>
      </c>
      <c r="B24" s="6">
        <v>79.760182598658446</v>
      </c>
      <c r="C24" s="6" t="s">
        <v>5</v>
      </c>
      <c r="D24" s="6">
        <f t="shared" si="0"/>
        <v>5.4499999999999993</v>
      </c>
      <c r="E24" s="6">
        <f t="shared" si="1"/>
        <v>5.4499999999999993</v>
      </c>
      <c r="F24" s="6" t="e">
        <f t="shared" si="2"/>
        <v>#N/A</v>
      </c>
      <c r="G24" s="6">
        <f t="shared" si="3"/>
        <v>79.760182598658446</v>
      </c>
      <c r="H24" s="6" t="e">
        <f t="shared" si="4"/>
        <v>#N/A</v>
      </c>
      <c r="M24" s="9">
        <f t="shared" ca="1" si="5"/>
        <v>17</v>
      </c>
      <c r="N24" s="9">
        <f t="shared" ca="1" si="6"/>
        <v>15.770704544698898</v>
      </c>
      <c r="O24" s="9" t="str">
        <f t="shared" si="7"/>
        <v>Class 2</v>
      </c>
    </row>
    <row r="25" spans="1:15" x14ac:dyDescent="0.3">
      <c r="A25" s="6" t="s">
        <v>91</v>
      </c>
      <c r="B25" s="6">
        <v>89.137874661724254</v>
      </c>
      <c r="C25" s="6" t="s">
        <v>5</v>
      </c>
      <c r="D25" s="6">
        <f t="shared" si="0"/>
        <v>6.1833333333333336</v>
      </c>
      <c r="E25" s="6">
        <f t="shared" si="1"/>
        <v>6.1833333333333336</v>
      </c>
      <c r="F25" s="6" t="e">
        <f t="shared" si="2"/>
        <v>#N/A</v>
      </c>
      <c r="G25" s="6">
        <f t="shared" si="3"/>
        <v>89.137874661724254</v>
      </c>
      <c r="H25" s="6" t="e">
        <f t="shared" si="4"/>
        <v>#N/A</v>
      </c>
      <c r="M25" s="9">
        <f t="shared" ca="1" si="5"/>
        <v>7</v>
      </c>
      <c r="N25" s="9">
        <f t="shared" ca="1" si="6"/>
        <v>24.099395115777138</v>
      </c>
      <c r="O25" s="9" t="str">
        <f t="shared" si="7"/>
        <v>Class 2</v>
      </c>
    </row>
    <row r="26" spans="1:15" x14ac:dyDescent="0.3">
      <c r="A26" s="6" t="s">
        <v>92</v>
      </c>
      <c r="B26" s="6">
        <v>82.483823764182205</v>
      </c>
      <c r="C26" s="6" t="s">
        <v>7</v>
      </c>
      <c r="D26" s="6">
        <f t="shared" si="0"/>
        <v>-4.4166666666666661</v>
      </c>
      <c r="E26" s="6">
        <f t="shared" si="1"/>
        <v>19.583333333333336</v>
      </c>
      <c r="F26" s="6" t="e">
        <f t="shared" si="2"/>
        <v>#N/A</v>
      </c>
      <c r="G26" s="6" t="e">
        <f t="shared" si="3"/>
        <v>#N/A</v>
      </c>
      <c r="H26" s="6">
        <f t="shared" si="4"/>
        <v>82.483823764182205</v>
      </c>
      <c r="M26" s="9">
        <f t="shared" ca="1" si="5"/>
        <v>14</v>
      </c>
      <c r="N26" s="9">
        <f t="shared" ca="1" si="6"/>
        <v>17.459493295837859</v>
      </c>
      <c r="O26" s="9" t="str">
        <f t="shared" si="7"/>
        <v>Class 3</v>
      </c>
    </row>
    <row r="27" spans="1:15" x14ac:dyDescent="0.3">
      <c r="A27" s="6" t="s">
        <v>93</v>
      </c>
      <c r="B27" s="6">
        <v>70.03388523140535</v>
      </c>
      <c r="C27" s="6" t="s">
        <v>5</v>
      </c>
      <c r="D27" s="6">
        <f t="shared" si="0"/>
        <v>7.4499999999999993</v>
      </c>
      <c r="E27" s="6">
        <f t="shared" si="1"/>
        <v>7.4499999999999993</v>
      </c>
      <c r="F27" s="6" t="e">
        <f t="shared" si="2"/>
        <v>#N/A</v>
      </c>
      <c r="G27" s="6">
        <f t="shared" si="3"/>
        <v>70.03388523140535</v>
      </c>
      <c r="H27" s="6" t="e">
        <f t="shared" si="4"/>
        <v>#N/A</v>
      </c>
      <c r="M27" s="9">
        <f t="shared" ca="1" si="5"/>
        <v>43</v>
      </c>
      <c r="N27" s="9">
        <f t="shared" ca="1" si="6"/>
        <v>7.1195932093586487</v>
      </c>
      <c r="O27" s="9" t="str">
        <f t="shared" si="7"/>
        <v>Class 2</v>
      </c>
    </row>
    <row r="28" spans="1:15" x14ac:dyDescent="0.3">
      <c r="A28" s="6" t="s">
        <v>94</v>
      </c>
      <c r="B28" s="6">
        <v>50.83981786625445</v>
      </c>
      <c r="C28" s="6" t="s">
        <v>7</v>
      </c>
      <c r="D28" s="6">
        <f t="shared" si="0"/>
        <v>-0.86666666666666625</v>
      </c>
      <c r="E28" s="6">
        <f t="shared" si="1"/>
        <v>23.133333333333333</v>
      </c>
      <c r="F28" s="6" t="e">
        <f t="shared" si="2"/>
        <v>#N/A</v>
      </c>
      <c r="G28" s="6" t="e">
        <f t="shared" si="3"/>
        <v>#N/A</v>
      </c>
      <c r="H28" s="6">
        <f t="shared" si="4"/>
        <v>50.83981786625445</v>
      </c>
      <c r="M28" s="9">
        <f t="shared" ca="1" si="5"/>
        <v>13</v>
      </c>
      <c r="N28" s="9">
        <f t="shared" ca="1" si="6"/>
        <v>18.132946022161544</v>
      </c>
      <c r="O28" s="9" t="str">
        <f t="shared" si="7"/>
        <v>Class 3</v>
      </c>
    </row>
    <row r="29" spans="1:15" x14ac:dyDescent="0.3">
      <c r="A29" s="6" t="s">
        <v>95</v>
      </c>
      <c r="B29" s="6">
        <v>80.421060213895188</v>
      </c>
      <c r="C29" s="6" t="s">
        <v>7</v>
      </c>
      <c r="D29" s="6">
        <f t="shared" si="0"/>
        <v>-5.2833333333333332</v>
      </c>
      <c r="E29" s="6">
        <f t="shared" si="1"/>
        <v>18.716666666666669</v>
      </c>
      <c r="F29" s="6" t="e">
        <f t="shared" si="2"/>
        <v>#N/A</v>
      </c>
      <c r="G29" s="6" t="e">
        <f t="shared" si="3"/>
        <v>#N/A</v>
      </c>
      <c r="H29" s="6">
        <f t="shared" si="4"/>
        <v>80.421060213895188</v>
      </c>
      <c r="M29" s="9">
        <f t="shared" ca="1" si="5"/>
        <v>19</v>
      </c>
      <c r="N29" s="9">
        <f t="shared" ca="1" si="6"/>
        <v>15.223794933486747</v>
      </c>
      <c r="O29" s="9" t="str">
        <f t="shared" si="7"/>
        <v>Class 3</v>
      </c>
    </row>
    <row r="30" spans="1:15" x14ac:dyDescent="0.3">
      <c r="A30" s="6" t="s">
        <v>96</v>
      </c>
      <c r="B30" s="6">
        <v>90.242946307903082</v>
      </c>
      <c r="C30" s="6" t="s">
        <v>5</v>
      </c>
      <c r="D30" s="6">
        <f t="shared" si="0"/>
        <v>7.4</v>
      </c>
      <c r="E30" s="6">
        <f t="shared" si="1"/>
        <v>7.4</v>
      </c>
      <c r="F30" s="6" t="e">
        <f t="shared" si="2"/>
        <v>#N/A</v>
      </c>
      <c r="G30" s="6">
        <f t="shared" si="3"/>
        <v>90.242946307903082</v>
      </c>
      <c r="H30" s="6" t="e">
        <f t="shared" si="4"/>
        <v>#N/A</v>
      </c>
      <c r="M30" s="9">
        <f t="shared" ca="1" si="5"/>
        <v>6</v>
      </c>
      <c r="N30" s="9">
        <f t="shared" ca="1" si="6"/>
        <v>24.833214171762872</v>
      </c>
      <c r="O30" s="9" t="str">
        <f t="shared" si="7"/>
        <v>Class 2</v>
      </c>
    </row>
    <row r="31" spans="1:15" x14ac:dyDescent="0.3">
      <c r="A31" s="6" t="s">
        <v>97</v>
      </c>
      <c r="B31" s="6">
        <v>75.437827643469603</v>
      </c>
      <c r="C31" s="6" t="s">
        <v>5</v>
      </c>
      <c r="D31" s="6">
        <f t="shared" si="0"/>
        <v>5.8166666666666664</v>
      </c>
      <c r="E31" s="6">
        <f t="shared" si="1"/>
        <v>5.8166666666666664</v>
      </c>
      <c r="F31" s="6" t="e">
        <f t="shared" si="2"/>
        <v>#N/A</v>
      </c>
      <c r="G31" s="6">
        <f t="shared" si="3"/>
        <v>75.437827643469603</v>
      </c>
      <c r="H31" s="6" t="e">
        <f t="shared" si="4"/>
        <v>#N/A</v>
      </c>
      <c r="M31" s="9">
        <f t="shared" ca="1" si="5"/>
        <v>28</v>
      </c>
      <c r="N31" s="9">
        <f t="shared" ca="1" si="6"/>
        <v>12.001281320186077</v>
      </c>
      <c r="O31" s="9" t="str">
        <f t="shared" si="7"/>
        <v>Class 2</v>
      </c>
    </row>
    <row r="32" spans="1:15" x14ac:dyDescent="0.3">
      <c r="A32" s="6" t="s">
        <v>98</v>
      </c>
      <c r="B32" s="6">
        <v>64.011896783673649</v>
      </c>
      <c r="C32" s="6" t="s">
        <v>7</v>
      </c>
      <c r="D32" s="6">
        <f t="shared" si="0"/>
        <v>-3.3666666666666667</v>
      </c>
      <c r="E32" s="6">
        <f t="shared" si="1"/>
        <v>20.633333333333333</v>
      </c>
      <c r="F32" s="6" t="e">
        <f t="shared" si="2"/>
        <v>#N/A</v>
      </c>
      <c r="G32" s="6" t="e">
        <f t="shared" si="3"/>
        <v>#N/A</v>
      </c>
      <c r="H32" s="6">
        <f t="shared" si="4"/>
        <v>64.011896783673649</v>
      </c>
      <c r="M32" s="9">
        <f t="shared" ca="1" si="5"/>
        <v>41</v>
      </c>
      <c r="N32" s="9">
        <f t="shared" ca="1" si="6"/>
        <v>7.5266293486699913</v>
      </c>
      <c r="O32" s="9" t="str">
        <f t="shared" si="7"/>
        <v>Class 3</v>
      </c>
    </row>
    <row r="33" spans="1:15" x14ac:dyDescent="0.3">
      <c r="A33" s="6" t="s">
        <v>99</v>
      </c>
      <c r="B33" s="6">
        <v>57.644379417706588</v>
      </c>
      <c r="C33" s="6" t="s">
        <v>12</v>
      </c>
      <c r="D33" s="6">
        <f t="shared" si="0"/>
        <v>16.666666666666668</v>
      </c>
      <c r="E33" s="6">
        <f t="shared" si="1"/>
        <v>16.666666666666668</v>
      </c>
      <c r="F33" s="6">
        <f t="shared" si="2"/>
        <v>57.644379417706588</v>
      </c>
      <c r="G33" s="6" t="e">
        <f t="shared" si="3"/>
        <v>#N/A</v>
      </c>
      <c r="H33" s="6" t="e">
        <f t="shared" si="4"/>
        <v>#N/A</v>
      </c>
      <c r="M33" s="9">
        <f t="shared" ca="1" si="5"/>
        <v>39</v>
      </c>
      <c r="N33" s="9">
        <f t="shared" ca="1" si="6"/>
        <v>9.1050349382458133</v>
      </c>
      <c r="O33" s="9" t="str">
        <f t="shared" si="7"/>
        <v>Class 1</v>
      </c>
    </row>
    <row r="34" spans="1:15" x14ac:dyDescent="0.3">
      <c r="A34" s="6" t="s">
        <v>100</v>
      </c>
      <c r="B34" s="6">
        <v>56.329885908452511</v>
      </c>
      <c r="C34" s="6" t="s">
        <v>5</v>
      </c>
      <c r="D34" s="6">
        <f t="shared" si="0"/>
        <v>0.40000000000000036</v>
      </c>
      <c r="E34" s="6">
        <f t="shared" si="1"/>
        <v>0.40000000000000036</v>
      </c>
      <c r="F34" s="6" t="e">
        <f t="shared" si="2"/>
        <v>#N/A</v>
      </c>
      <c r="G34" s="6">
        <f t="shared" si="3"/>
        <v>56.329885908452511</v>
      </c>
      <c r="H34" s="6" t="e">
        <f t="shared" si="4"/>
        <v>#N/A</v>
      </c>
      <c r="M34" s="9">
        <f t="shared" ca="1" si="5"/>
        <v>16</v>
      </c>
      <c r="N34" s="9">
        <f t="shared" ca="1" si="6"/>
        <v>16.305239629733123</v>
      </c>
      <c r="O34" s="9" t="str">
        <f t="shared" si="7"/>
        <v>Class 2</v>
      </c>
    </row>
    <row r="35" spans="1:15" x14ac:dyDescent="0.3">
      <c r="A35" s="6" t="s">
        <v>101</v>
      </c>
      <c r="B35" s="6">
        <v>72.915823101377612</v>
      </c>
      <c r="C35" s="6" t="s">
        <v>5</v>
      </c>
      <c r="D35" s="6">
        <f t="shared" si="0"/>
        <v>3.5666666666666664</v>
      </c>
      <c r="E35" s="6">
        <f t="shared" si="1"/>
        <v>3.5666666666666664</v>
      </c>
      <c r="F35" s="6" t="e">
        <f t="shared" si="2"/>
        <v>#N/A</v>
      </c>
      <c r="G35" s="6">
        <f t="shared" si="3"/>
        <v>72.915823101377612</v>
      </c>
      <c r="H35" s="6" t="e">
        <f t="shared" si="4"/>
        <v>#N/A</v>
      </c>
      <c r="M35" s="9">
        <f t="shared" ca="1" si="5"/>
        <v>29</v>
      </c>
      <c r="N35" s="9">
        <f t="shared" ca="1" si="6"/>
        <v>11.950061485776429</v>
      </c>
      <c r="O35" s="9" t="str">
        <f t="shared" si="7"/>
        <v>Class 2</v>
      </c>
    </row>
    <row r="36" spans="1:15" x14ac:dyDescent="0.3">
      <c r="A36" s="6" t="s">
        <v>102</v>
      </c>
      <c r="B36" s="6">
        <v>73.614577356168951</v>
      </c>
      <c r="C36" s="6" t="s">
        <v>7</v>
      </c>
      <c r="D36" s="6">
        <f t="shared" si="0"/>
        <v>-1.916666666666667</v>
      </c>
      <c r="E36" s="6">
        <f t="shared" si="1"/>
        <v>22.083333333333332</v>
      </c>
      <c r="F36" s="6" t="e">
        <f t="shared" si="2"/>
        <v>#N/A</v>
      </c>
      <c r="G36" s="6" t="e">
        <f t="shared" si="3"/>
        <v>#N/A</v>
      </c>
      <c r="H36" s="6">
        <f t="shared" si="4"/>
        <v>73.614577356168951</v>
      </c>
      <c r="M36" s="9">
        <f t="shared" ca="1" si="5"/>
        <v>32</v>
      </c>
      <c r="N36" s="9">
        <f t="shared" ca="1" si="6"/>
        <v>11.438385416727304</v>
      </c>
      <c r="O36" s="9" t="str">
        <f t="shared" si="7"/>
        <v>Class 3</v>
      </c>
    </row>
    <row r="37" spans="1:15" x14ac:dyDescent="0.3">
      <c r="A37" s="6" t="s">
        <v>103</v>
      </c>
      <c r="B37" s="6">
        <v>97.993932876047282</v>
      </c>
      <c r="C37" s="6" t="s">
        <v>7</v>
      </c>
      <c r="D37" s="6">
        <f t="shared" si="0"/>
        <v>-4.75</v>
      </c>
      <c r="E37" s="6">
        <f t="shared" si="1"/>
        <v>19.25</v>
      </c>
      <c r="F37" s="6" t="e">
        <f t="shared" si="2"/>
        <v>#N/A</v>
      </c>
      <c r="G37" s="6" t="e">
        <f t="shared" si="3"/>
        <v>#N/A</v>
      </c>
      <c r="H37" s="6">
        <f t="shared" si="4"/>
        <v>97.993932876047282</v>
      </c>
      <c r="M37" s="9">
        <f t="shared" ca="1" si="5"/>
        <v>1</v>
      </c>
      <c r="N37" s="9">
        <f t="shared" ca="1" si="6"/>
        <v>32.374185334847674</v>
      </c>
      <c r="O37" s="9" t="str">
        <f t="shared" si="7"/>
        <v>Class 3</v>
      </c>
    </row>
    <row r="38" spans="1:15" x14ac:dyDescent="0.3">
      <c r="A38" s="6" t="s">
        <v>104</v>
      </c>
      <c r="B38" s="6">
        <v>65.255609104128965</v>
      </c>
      <c r="C38" s="6" t="s">
        <v>7</v>
      </c>
      <c r="D38" s="6">
        <f t="shared" si="0"/>
        <v>15.433333333333334</v>
      </c>
      <c r="E38" s="6">
        <f t="shared" si="1"/>
        <v>15.433333333333334</v>
      </c>
      <c r="F38" s="6" t="e">
        <f t="shared" si="2"/>
        <v>#N/A</v>
      </c>
      <c r="G38" s="6" t="e">
        <f t="shared" si="3"/>
        <v>#N/A</v>
      </c>
      <c r="H38" s="6">
        <f t="shared" si="4"/>
        <v>65.255609104128965</v>
      </c>
      <c r="M38" s="9">
        <f t="shared" ca="1" si="5"/>
        <v>49</v>
      </c>
      <c r="N38" s="9">
        <f t="shared" ca="1" si="6"/>
        <v>2.2059475372409341</v>
      </c>
      <c r="O38" s="9" t="str">
        <f t="shared" si="7"/>
        <v>Class 3</v>
      </c>
    </row>
    <row r="39" spans="1:15" x14ac:dyDescent="0.3">
      <c r="A39" s="6" t="s">
        <v>105</v>
      </c>
      <c r="B39" s="6">
        <v>62.836298196065869</v>
      </c>
      <c r="C39" s="6" t="s">
        <v>7</v>
      </c>
      <c r="D39" s="6">
        <f t="shared" si="0"/>
        <v>17.583333333333332</v>
      </c>
      <c r="E39" s="6">
        <f t="shared" si="1"/>
        <v>17.583333333333332</v>
      </c>
      <c r="F39" s="6" t="e">
        <f t="shared" si="2"/>
        <v>#N/A</v>
      </c>
      <c r="G39" s="6" t="e">
        <f t="shared" si="3"/>
        <v>#N/A</v>
      </c>
      <c r="H39" s="6">
        <f t="shared" si="4"/>
        <v>62.836298196065869</v>
      </c>
      <c r="M39" s="9">
        <f t="shared" ca="1" si="5"/>
        <v>46</v>
      </c>
      <c r="N39" s="9">
        <f t="shared" ca="1" si="6"/>
        <v>5.3234603009038715</v>
      </c>
      <c r="O39" s="9" t="str">
        <f t="shared" si="7"/>
        <v>Class 3</v>
      </c>
    </row>
    <row r="40" spans="1:15" x14ac:dyDescent="0.3">
      <c r="A40" s="6" t="s">
        <v>106</v>
      </c>
      <c r="B40" s="6">
        <v>64.856965867400362</v>
      </c>
      <c r="C40" s="6" t="s">
        <v>5</v>
      </c>
      <c r="D40" s="6">
        <f t="shared" si="0"/>
        <v>11.600000000000001</v>
      </c>
      <c r="E40" s="6">
        <f t="shared" si="1"/>
        <v>11.600000000000001</v>
      </c>
      <c r="F40" s="6" t="e">
        <f t="shared" si="2"/>
        <v>#N/A</v>
      </c>
      <c r="G40" s="6">
        <f t="shared" si="3"/>
        <v>64.856965867400362</v>
      </c>
      <c r="H40" s="6" t="e">
        <f t="shared" si="4"/>
        <v>#N/A</v>
      </c>
      <c r="M40" s="9">
        <f t="shared" ca="1" si="5"/>
        <v>48</v>
      </c>
      <c r="N40" s="9">
        <f t="shared" ca="1" si="6"/>
        <v>2.2296275812120854</v>
      </c>
      <c r="O40" s="9" t="str">
        <f t="shared" si="7"/>
        <v>Class 2</v>
      </c>
    </row>
    <row r="41" spans="1:15" x14ac:dyDescent="0.3">
      <c r="A41" s="6" t="s">
        <v>107</v>
      </c>
      <c r="B41" s="6">
        <v>62.636471235275138</v>
      </c>
      <c r="C41" s="6" t="s">
        <v>12</v>
      </c>
      <c r="D41" s="6">
        <f t="shared" si="0"/>
        <v>2.4166666666666661</v>
      </c>
      <c r="E41" s="6">
        <f t="shared" si="1"/>
        <v>2.4166666666666661</v>
      </c>
      <c r="F41" s="6">
        <f t="shared" si="2"/>
        <v>62.636471235275138</v>
      </c>
      <c r="G41" s="6" t="e">
        <f t="shared" si="3"/>
        <v>#N/A</v>
      </c>
      <c r="H41" s="6" t="e">
        <f t="shared" si="4"/>
        <v>#N/A</v>
      </c>
      <c r="M41" s="9">
        <f t="shared" ca="1" si="5"/>
        <v>31</v>
      </c>
      <c r="N41" s="9">
        <f t="shared" ca="1" si="6"/>
        <v>11.547390716582525</v>
      </c>
      <c r="O41" s="9" t="str">
        <f t="shared" si="7"/>
        <v>Class 1</v>
      </c>
    </row>
    <row r="42" spans="1:15" x14ac:dyDescent="0.3">
      <c r="A42" s="6" t="s">
        <v>108</v>
      </c>
      <c r="B42" s="6">
        <v>69.222025642755312</v>
      </c>
      <c r="C42" s="6" t="s">
        <v>5</v>
      </c>
      <c r="D42" s="6">
        <f t="shared" si="0"/>
        <v>1.5666666666666664</v>
      </c>
      <c r="E42" s="6">
        <f t="shared" si="1"/>
        <v>1.5666666666666664</v>
      </c>
      <c r="F42" s="6" t="e">
        <f t="shared" si="2"/>
        <v>#N/A</v>
      </c>
      <c r="G42" s="6">
        <f t="shared" si="3"/>
        <v>69.222025642755312</v>
      </c>
      <c r="H42" s="6" t="e">
        <f t="shared" si="4"/>
        <v>#N/A</v>
      </c>
      <c r="M42" s="9">
        <f t="shared" ca="1" si="5"/>
        <v>27</v>
      </c>
      <c r="N42" s="9">
        <f t="shared" ca="1" si="6"/>
        <v>12.2418201501394</v>
      </c>
      <c r="O42" s="9" t="str">
        <f t="shared" si="7"/>
        <v>Class 2</v>
      </c>
    </row>
    <row r="43" spans="1:15" x14ac:dyDescent="0.3">
      <c r="A43" s="6" t="s">
        <v>109</v>
      </c>
      <c r="B43" s="6">
        <v>52.925000538534142</v>
      </c>
      <c r="C43" s="6" t="s">
        <v>12</v>
      </c>
      <c r="D43" s="6">
        <f t="shared" si="0"/>
        <v>11.716666666666665</v>
      </c>
      <c r="E43" s="6">
        <f t="shared" si="1"/>
        <v>11.716666666666665</v>
      </c>
      <c r="F43" s="6">
        <f t="shared" si="2"/>
        <v>52.925000538534142</v>
      </c>
      <c r="G43" s="6" t="e">
        <f t="shared" si="3"/>
        <v>#N/A</v>
      </c>
      <c r="H43" s="6" t="e">
        <f t="shared" si="4"/>
        <v>#N/A</v>
      </c>
      <c r="M43" s="9">
        <f t="shared" ca="1" si="5"/>
        <v>24</v>
      </c>
      <c r="N43" s="9">
        <f t="shared" ca="1" si="6"/>
        <v>13.333440220129468</v>
      </c>
      <c r="O43" s="9" t="str">
        <f t="shared" si="7"/>
        <v>Class 1</v>
      </c>
    </row>
    <row r="44" spans="1:15" x14ac:dyDescent="0.3">
      <c r="A44" s="6" t="s">
        <v>110</v>
      </c>
      <c r="B44" s="6">
        <v>70.408161246425948</v>
      </c>
      <c r="C44" s="6" t="s">
        <v>7</v>
      </c>
      <c r="D44" s="6">
        <f t="shared" si="0"/>
        <v>16.916666666666668</v>
      </c>
      <c r="E44" s="6">
        <f t="shared" si="1"/>
        <v>16.916666666666668</v>
      </c>
      <c r="F44" s="6" t="e">
        <f t="shared" si="2"/>
        <v>#N/A</v>
      </c>
      <c r="G44" s="6" t="e">
        <f t="shared" si="3"/>
        <v>#N/A</v>
      </c>
      <c r="H44" s="6">
        <f t="shared" si="4"/>
        <v>70.408161246425948</v>
      </c>
      <c r="M44" s="9">
        <f t="shared" ca="1" si="5"/>
        <v>45</v>
      </c>
      <c r="N44" s="9">
        <f t="shared" ca="1" si="6"/>
        <v>5.5122728148189362</v>
      </c>
      <c r="O44" s="9" t="str">
        <f t="shared" si="7"/>
        <v>Class 3</v>
      </c>
    </row>
    <row r="45" spans="1:15" x14ac:dyDescent="0.3">
      <c r="A45" s="6" t="s">
        <v>111</v>
      </c>
      <c r="B45" s="6">
        <v>38.381352267832035</v>
      </c>
      <c r="C45" s="6" t="s">
        <v>7</v>
      </c>
      <c r="D45" s="6">
        <f t="shared" si="0"/>
        <v>-3.25</v>
      </c>
      <c r="E45" s="6">
        <f t="shared" si="1"/>
        <v>20.75</v>
      </c>
      <c r="F45" s="6" t="e">
        <f t="shared" si="2"/>
        <v>#N/A</v>
      </c>
      <c r="G45" s="6" t="e">
        <f t="shared" si="3"/>
        <v>#N/A</v>
      </c>
      <c r="H45" s="6">
        <f t="shared" si="4"/>
        <v>38.381352267832035</v>
      </c>
      <c r="M45" s="9">
        <f t="shared" ca="1" si="5"/>
        <v>2</v>
      </c>
      <c r="N45" s="9">
        <f t="shared" ca="1" si="6"/>
        <v>28.720282272848799</v>
      </c>
      <c r="O45" s="9" t="str">
        <f t="shared" si="7"/>
        <v>Class 3</v>
      </c>
    </row>
    <row r="46" spans="1:15" x14ac:dyDescent="0.3">
      <c r="A46" s="6" t="s">
        <v>112</v>
      </c>
      <c r="B46" s="6">
        <v>56.924650429703547</v>
      </c>
      <c r="C46" s="6" t="s">
        <v>12</v>
      </c>
      <c r="D46" s="6">
        <f t="shared" si="0"/>
        <v>12.433333333333334</v>
      </c>
      <c r="E46" s="6">
        <f t="shared" si="1"/>
        <v>12.433333333333334</v>
      </c>
      <c r="F46" s="6">
        <f t="shared" si="2"/>
        <v>56.924650429703547</v>
      </c>
      <c r="G46" s="6" t="e">
        <f t="shared" si="3"/>
        <v>#N/A</v>
      </c>
      <c r="H46" s="6" t="e">
        <f t="shared" si="4"/>
        <v>#N/A</v>
      </c>
      <c r="M46" s="9">
        <f t="shared" ca="1" si="5"/>
        <v>38</v>
      </c>
      <c r="N46" s="9">
        <f t="shared" ca="1" si="6"/>
        <v>9.277233186310248</v>
      </c>
      <c r="O46" s="9" t="str">
        <f t="shared" si="7"/>
        <v>Class 1</v>
      </c>
    </row>
    <row r="47" spans="1:15" x14ac:dyDescent="0.3">
      <c r="A47" s="6" t="s">
        <v>113</v>
      </c>
      <c r="B47" s="6">
        <v>48.223605271516504</v>
      </c>
      <c r="C47" s="6" t="s">
        <v>12</v>
      </c>
      <c r="D47" s="6">
        <f t="shared" si="0"/>
        <v>9.65</v>
      </c>
      <c r="E47" s="6">
        <f t="shared" si="1"/>
        <v>9.65</v>
      </c>
      <c r="F47" s="6">
        <f t="shared" si="2"/>
        <v>48.223605271516504</v>
      </c>
      <c r="G47" s="6" t="e">
        <f t="shared" si="3"/>
        <v>#N/A</v>
      </c>
      <c r="H47" s="6" t="e">
        <f t="shared" si="4"/>
        <v>#N/A</v>
      </c>
      <c r="M47" s="9">
        <f t="shared" ca="1" si="5"/>
        <v>12</v>
      </c>
      <c r="N47" s="9">
        <f t="shared" ca="1" si="6"/>
        <v>18.317474560463335</v>
      </c>
      <c r="O47" s="9" t="str">
        <f t="shared" si="7"/>
        <v>Class 1</v>
      </c>
    </row>
    <row r="48" spans="1:15" x14ac:dyDescent="0.3">
      <c r="A48" s="6" t="s">
        <v>114</v>
      </c>
      <c r="B48" s="6">
        <v>74.77083394307634</v>
      </c>
      <c r="C48" s="6" t="s">
        <v>5</v>
      </c>
      <c r="D48" s="6">
        <f t="shared" si="0"/>
        <v>0.73333333333333339</v>
      </c>
      <c r="E48" s="6">
        <f t="shared" si="1"/>
        <v>0.73333333333333339</v>
      </c>
      <c r="F48" s="6" t="e">
        <f t="shared" si="2"/>
        <v>#N/A</v>
      </c>
      <c r="G48" s="6">
        <f t="shared" si="3"/>
        <v>74.77083394307634</v>
      </c>
      <c r="H48" s="6" t="e">
        <f t="shared" si="4"/>
        <v>#N/A</v>
      </c>
      <c r="M48" s="9">
        <f t="shared" ca="1" si="5"/>
        <v>18</v>
      </c>
      <c r="N48" s="9">
        <f t="shared" ca="1" si="6"/>
        <v>15.335978280978928</v>
      </c>
      <c r="O48" s="9" t="str">
        <f t="shared" si="7"/>
        <v>Class 2</v>
      </c>
    </row>
    <row r="49" spans="1:15" x14ac:dyDescent="0.3">
      <c r="A49" s="6" t="s">
        <v>115</v>
      </c>
      <c r="B49" s="6">
        <v>56.542808501756156</v>
      </c>
      <c r="C49" s="6" t="s">
        <v>12</v>
      </c>
      <c r="D49" s="6">
        <f t="shared" si="0"/>
        <v>4.1666666666666661</v>
      </c>
      <c r="E49" s="6">
        <f t="shared" si="1"/>
        <v>4.1666666666666661</v>
      </c>
      <c r="F49" s="6">
        <f t="shared" si="2"/>
        <v>56.542808501756156</v>
      </c>
      <c r="G49" s="6" t="e">
        <f t="shared" si="3"/>
        <v>#N/A</v>
      </c>
      <c r="H49" s="6" t="e">
        <f t="shared" si="4"/>
        <v>#N/A</v>
      </c>
      <c r="M49" s="9">
        <f t="shared" ca="1" si="5"/>
        <v>23</v>
      </c>
      <c r="N49" s="9">
        <f t="shared" ca="1" si="6"/>
        <v>13.336167991889402</v>
      </c>
      <c r="O49" s="9" t="str">
        <f t="shared" si="7"/>
        <v>Class 1</v>
      </c>
    </row>
    <row r="50" spans="1:15" x14ac:dyDescent="0.3">
      <c r="A50" s="6" t="s">
        <v>116</v>
      </c>
      <c r="B50" s="6">
        <v>76.657821922272632</v>
      </c>
      <c r="C50" s="6" t="s">
        <v>5</v>
      </c>
      <c r="D50" s="6">
        <f t="shared" si="0"/>
        <v>14.75</v>
      </c>
      <c r="E50" s="6">
        <f t="shared" si="1"/>
        <v>14.75</v>
      </c>
      <c r="F50" s="6" t="e">
        <f t="shared" si="2"/>
        <v>#N/A</v>
      </c>
      <c r="G50" s="6">
        <f t="shared" si="3"/>
        <v>76.657821922272632</v>
      </c>
      <c r="H50" s="6" t="e">
        <f t="shared" si="4"/>
        <v>#N/A</v>
      </c>
      <c r="M50" s="9">
        <f t="shared" ca="1" si="5"/>
        <v>35</v>
      </c>
      <c r="N50" s="9">
        <f t="shared" ca="1" si="6"/>
        <v>10.592451615334838</v>
      </c>
      <c r="O50" s="9" t="str">
        <f t="shared" si="7"/>
        <v>Class 2</v>
      </c>
    </row>
    <row r="51" spans="1:15" x14ac:dyDescent="0.3">
      <c r="A51" s="6" t="s">
        <v>117</v>
      </c>
      <c r="B51" s="6">
        <v>88.082772415206961</v>
      </c>
      <c r="C51" s="6" t="s">
        <v>5</v>
      </c>
      <c r="D51" s="6">
        <f t="shared" si="0"/>
        <v>1.2833333333333332</v>
      </c>
      <c r="E51" s="6">
        <f t="shared" si="1"/>
        <v>1.2833333333333332</v>
      </c>
      <c r="F51" s="6" t="e">
        <f t="shared" si="2"/>
        <v>#N/A</v>
      </c>
      <c r="G51" s="6">
        <f t="shared" si="3"/>
        <v>88.082772415206961</v>
      </c>
      <c r="H51" s="6" t="e">
        <f t="shared" si="4"/>
        <v>#N/A</v>
      </c>
      <c r="M51" s="9">
        <f t="shared" ca="1" si="5"/>
        <v>5</v>
      </c>
      <c r="N51" s="9">
        <f t="shared" ca="1" si="6"/>
        <v>25.065530904628542</v>
      </c>
      <c r="O51" s="9" t="str">
        <f t="shared" si="7"/>
        <v>Class 2</v>
      </c>
    </row>
  </sheetData>
  <mergeCells count="6">
    <mergeCell ref="W1:X1"/>
    <mergeCell ref="A1:H1"/>
    <mergeCell ref="J1:K1"/>
    <mergeCell ref="M1:O1"/>
    <mergeCell ref="Q1:R1"/>
    <mergeCell ref="T1:U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2F353-0331-4B26-BE76-DAA4549E2E54}">
  <sheetPr codeName="Sheet3"/>
  <dimension ref="A1:Z51"/>
  <sheetViews>
    <sheetView workbookViewId="0">
      <selection activeCell="M8" sqref="M8"/>
    </sheetView>
  </sheetViews>
  <sheetFormatPr defaultRowHeight="14.4" x14ac:dyDescent="0.3"/>
  <cols>
    <col min="11" max="11" width="2.88671875" style="1" customWidth="1"/>
    <col min="14" max="14" width="3.44140625" style="1" customWidth="1"/>
    <col min="18" max="18" width="3.6640625" style="1" customWidth="1"/>
    <col min="21" max="21" width="3.33203125" style="1" customWidth="1"/>
    <col min="24" max="24" width="4.21875" style="1" customWidth="1"/>
    <col min="28" max="28" width="8.88671875" customWidth="1"/>
  </cols>
  <sheetData>
    <row r="1" spans="1:26" s="3" customForma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"/>
      <c r="L1" s="24" t="s">
        <v>58</v>
      </c>
      <c r="M1" s="24"/>
      <c r="N1" s="2"/>
      <c r="O1" s="24" t="s">
        <v>119</v>
      </c>
      <c r="P1" s="24"/>
      <c r="Q1" s="24"/>
      <c r="R1" s="2"/>
      <c r="S1" s="24" t="s">
        <v>62</v>
      </c>
      <c r="T1" s="24"/>
      <c r="U1" s="2"/>
      <c r="V1" s="24" t="s">
        <v>65</v>
      </c>
      <c r="W1" s="24"/>
      <c r="X1" s="2" t="s">
        <v>68</v>
      </c>
      <c r="Y1" s="24" t="s">
        <v>67</v>
      </c>
      <c r="Z1" s="24"/>
    </row>
    <row r="2" spans="1:26" s="4" customFormat="1" x14ac:dyDescent="0.3">
      <c r="A2" s="5" t="s">
        <v>1</v>
      </c>
      <c r="B2" s="5" t="s">
        <v>2</v>
      </c>
      <c r="C2" s="5" t="s">
        <v>3</v>
      </c>
      <c r="D2" s="5"/>
      <c r="E2" s="5" t="s">
        <v>57</v>
      </c>
      <c r="F2" s="5" t="s">
        <v>170</v>
      </c>
      <c r="G2" s="5" t="s">
        <v>169</v>
      </c>
      <c r="H2" s="5" t="s">
        <v>12</v>
      </c>
      <c r="I2" s="5" t="s">
        <v>5</v>
      </c>
      <c r="J2" s="5" t="s">
        <v>7</v>
      </c>
      <c r="K2" s="2"/>
      <c r="L2" s="11"/>
      <c r="M2" s="11"/>
      <c r="N2" s="2"/>
      <c r="O2" s="5" t="s">
        <v>59</v>
      </c>
      <c r="P2" s="5" t="s">
        <v>60</v>
      </c>
      <c r="Q2" s="5" t="s">
        <v>61</v>
      </c>
      <c r="R2" s="2"/>
      <c r="S2" s="5" t="s">
        <v>63</v>
      </c>
      <c r="T2" s="5" t="s">
        <v>61</v>
      </c>
      <c r="U2" s="2"/>
      <c r="V2" s="5" t="s">
        <v>66</v>
      </c>
      <c r="W2" s="5" t="s">
        <v>61</v>
      </c>
      <c r="X2" s="2"/>
      <c r="Y2" s="5" t="s">
        <v>66</v>
      </c>
      <c r="Z2" s="5" t="s">
        <v>61</v>
      </c>
    </row>
    <row r="3" spans="1:26" x14ac:dyDescent="0.3">
      <c r="A3" s="6" t="s">
        <v>120</v>
      </c>
      <c r="B3" s="6">
        <v>54.77616010285201</v>
      </c>
      <c r="C3" s="6" t="s">
        <v>5</v>
      </c>
      <c r="D3" s="6">
        <f>HOUR(A3)+MINUTE(A3)/60 - 6</f>
        <v>0.53333333333333321</v>
      </c>
      <c r="E3" s="6">
        <f>IF(D3&lt;0,D3+24,D3)</f>
        <v>0.53333333333333321</v>
      </c>
      <c r="F3" s="6">
        <f>(E3-MIN($E$3:$E$51))/(MAX($E$3:$E$51)-MIN($E$3:$E$51))</f>
        <v>0</v>
      </c>
      <c r="G3" s="6">
        <f>(B3-MIN($B$3:$B$51))/(MAX($B$3:$B$51)-MIN($B$3:$B$51))</f>
        <v>0.3098964263318093</v>
      </c>
      <c r="H3" s="6" t="e">
        <f>IF($H$2=C3,B3,NA())</f>
        <v>#N/A</v>
      </c>
      <c r="I3" s="6">
        <f>IF($I$2=C3,B3,NA())</f>
        <v>54.77616010285201</v>
      </c>
      <c r="J3" s="6" t="e">
        <f>IF($J$2=C3,B3,NA())</f>
        <v>#N/A</v>
      </c>
      <c r="L3" s="8" t="s">
        <v>1</v>
      </c>
      <c r="M3" s="7" t="str">
        <f ca="1">TEXT(RAND(),"HH:MM:SS")</f>
        <v>17:00:06</v>
      </c>
      <c r="O3" s="9">
        <f ca="1">RANK(P3,$P$3:$P$51)</f>
        <v>9</v>
      </c>
      <c r="P3" s="9">
        <f ca="1">SQRT(($M$5-G3)^2+($M$8-F3)^2)</f>
        <v>0.70095567038766871</v>
      </c>
      <c r="Q3" s="9" t="str">
        <f>C3</f>
        <v>Class 2</v>
      </c>
      <c r="S3" s="10">
        <v>1</v>
      </c>
      <c r="T3" s="10" t="str">
        <f ca="1">VLOOKUP(S3,$O$3:$Q$51,3,FALSE)</f>
        <v>Class 3</v>
      </c>
      <c r="V3" s="10">
        <v>1</v>
      </c>
      <c r="W3" s="10" t="str">
        <f ca="1">VLOOKUP(V3,$O$3:$Q$51,3,FALSE)</f>
        <v>Class 3</v>
      </c>
      <c r="Y3" s="10">
        <v>1</v>
      </c>
      <c r="Z3" s="10" t="str">
        <f ca="1">VLOOKUP(Y3,$O$3:$Q$51,3,FALSE)</f>
        <v>Class 3</v>
      </c>
    </row>
    <row r="4" spans="1:26" x14ac:dyDescent="0.3">
      <c r="A4" s="6" t="s">
        <v>121</v>
      </c>
      <c r="B4" s="6">
        <v>51.560079521663212</v>
      </c>
      <c r="C4" s="6" t="s">
        <v>5</v>
      </c>
      <c r="D4" s="6">
        <f t="shared" ref="D4:D51" si="0">HOUR(A4)+MINUTE(A4)/60 - 6</f>
        <v>7.4166666666666661</v>
      </c>
      <c r="E4" s="6">
        <f>IF(D4&lt;0,D4+24,D4)</f>
        <v>7.4166666666666661</v>
      </c>
      <c r="F4" s="6">
        <f t="shared" ref="F4:F51" si="1">(E4-MIN($E$3:$E$51))/(MAX($E$3:$E$51)-MIN($E$3:$E$51))</f>
        <v>0.30412371134020616</v>
      </c>
      <c r="G4" s="6">
        <f t="shared" ref="G4:G51" si="2">(B4-MIN($B$3:$B$51))/(MAX($B$3:$B$51)-MIN($B$3:$B$51))</f>
        <v>0.25505035587402863</v>
      </c>
      <c r="H4" s="6" t="e">
        <f>IF($H$2=C4,B4,NA())</f>
        <v>#N/A</v>
      </c>
      <c r="I4" s="6">
        <f>IF($I$2=C4,B4,NA())</f>
        <v>51.560079521663212</v>
      </c>
      <c r="J4" s="6" t="e">
        <f>IF($J$2=C4,B4,NA())</f>
        <v>#N/A</v>
      </c>
      <c r="L4" s="8" t="s">
        <v>2</v>
      </c>
      <c r="M4" s="7">
        <f ca="1">NORMINV(RAND(),65,15)</f>
        <v>85.664895696236911</v>
      </c>
      <c r="O4" s="9">
        <f t="shared" ref="O4:O51" ca="1" si="3">RANK(P4,$P$3:$P$51)</f>
        <v>13</v>
      </c>
      <c r="P4" s="9">
        <f t="shared" ref="P4:P51" ca="1" si="4">SQRT(($M$5-G4)^2+($M$8-F4)^2)</f>
        <v>0.60277653960322797</v>
      </c>
      <c r="Q4" s="9" t="str">
        <f>C4</f>
        <v>Class 2</v>
      </c>
      <c r="S4" s="10">
        <v>2</v>
      </c>
      <c r="T4" s="10" t="str">
        <f t="shared" ref="T4:T5" ca="1" si="5">VLOOKUP(S4,$O$3:$Q$51,3,FALSE)</f>
        <v>Class 1</v>
      </c>
      <c r="V4" s="10">
        <v>2</v>
      </c>
      <c r="W4" s="10" t="str">
        <f t="shared" ref="W4:W7" ca="1" si="6">VLOOKUP(V4,$O$3:$Q$51,3,FALSE)</f>
        <v>Class 1</v>
      </c>
      <c r="Y4" s="10">
        <v>2</v>
      </c>
      <c r="Z4" s="10" t="str">
        <f t="shared" ref="Z4:Z9" ca="1" si="7">VLOOKUP(Y4,$O$3:$Q$51,3,FALSE)</f>
        <v>Class 1</v>
      </c>
    </row>
    <row r="5" spans="1:26" x14ac:dyDescent="0.3">
      <c r="A5" s="6" t="s">
        <v>122</v>
      </c>
      <c r="B5" s="6">
        <v>67.931271493713439</v>
      </c>
      <c r="C5" s="6" t="s">
        <v>7</v>
      </c>
      <c r="D5" s="6">
        <f t="shared" si="0"/>
        <v>-2.7333333333333334</v>
      </c>
      <c r="E5" s="6">
        <f>IF(D5&lt;0,D5+24,D5)</f>
        <v>21.266666666666666</v>
      </c>
      <c r="F5" s="6">
        <f t="shared" si="1"/>
        <v>0.91605301914580273</v>
      </c>
      <c r="G5" s="6">
        <f t="shared" si="2"/>
        <v>0.53423973739288977</v>
      </c>
      <c r="H5" s="6" t="e">
        <f>IF($H$2=C5,B5,NA())</f>
        <v>#N/A</v>
      </c>
      <c r="I5" s="6" t="e">
        <f>IF($I$2=C5,B5,NA())</f>
        <v>#N/A</v>
      </c>
      <c r="J5" s="6">
        <f>IF($J$2=C5,B5,NA())</f>
        <v>67.931271493713439</v>
      </c>
      <c r="L5" t="s">
        <v>171</v>
      </c>
      <c r="M5">
        <f ca="1">(M4-MIN($B$3:$B$51))/(MAX($B$3:$B$51)-MIN($B$3:$B$51))</f>
        <v>0.83666362819101336</v>
      </c>
      <c r="O5" s="9">
        <f t="shared" ca="1" si="3"/>
        <v>18</v>
      </c>
      <c r="P5" s="9">
        <f t="shared" ca="1" si="4"/>
        <v>0.54517946756582003</v>
      </c>
      <c r="Q5" s="9" t="str">
        <f>C5</f>
        <v>Class 3</v>
      </c>
      <c r="S5" s="10">
        <v>3</v>
      </c>
      <c r="T5" s="10" t="str">
        <f t="shared" ca="1" si="5"/>
        <v>Class 2</v>
      </c>
      <c r="V5" s="10">
        <v>3</v>
      </c>
      <c r="W5" s="10" t="str">
        <f t="shared" ca="1" si="6"/>
        <v>Class 2</v>
      </c>
      <c r="Y5" s="10">
        <v>3</v>
      </c>
      <c r="Z5" s="10" t="str">
        <f t="shared" ca="1" si="7"/>
        <v>Class 2</v>
      </c>
    </row>
    <row r="6" spans="1:26" x14ac:dyDescent="0.3">
      <c r="A6" s="6" t="s">
        <v>123</v>
      </c>
      <c r="B6" s="6">
        <v>85.462045214093123</v>
      </c>
      <c r="C6" s="6" t="s">
        <v>7</v>
      </c>
      <c r="D6" s="6">
        <f t="shared" si="0"/>
        <v>8.4666666666666668</v>
      </c>
      <c r="E6" s="6">
        <f>IF(D6&lt;0,D6+24,D6)</f>
        <v>8.4666666666666668</v>
      </c>
      <c r="F6" s="6">
        <f t="shared" si="1"/>
        <v>0.3505154639175258</v>
      </c>
      <c r="G6" s="6">
        <f t="shared" si="2"/>
        <v>0.83320427710972278</v>
      </c>
      <c r="H6" s="6" t="e">
        <f>IF($H$2=C6,B6,NA())</f>
        <v>#N/A</v>
      </c>
      <c r="I6" s="6" t="e">
        <f>IF($I$2=C6,B6,NA())</f>
        <v>#N/A</v>
      </c>
      <c r="J6" s="6">
        <f>IF($J$2=C6,B6,NA())</f>
        <v>85.462045214093123</v>
      </c>
      <c r="L6" s="8" t="s">
        <v>56</v>
      </c>
      <c r="M6" s="7">
        <f ca="1">HOUR(M3)+MINUTE(M3)/60 - 6</f>
        <v>11</v>
      </c>
      <c r="O6" s="9">
        <f t="shared" ca="1" si="3"/>
        <v>48</v>
      </c>
      <c r="P6" s="9">
        <f t="shared" ca="1" si="4"/>
        <v>0.11198275338525832</v>
      </c>
      <c r="Q6" s="9" t="str">
        <f>C6</f>
        <v>Class 3</v>
      </c>
      <c r="V6" s="10">
        <v>4</v>
      </c>
      <c r="W6" s="10" t="str">
        <f t="shared" ca="1" si="6"/>
        <v>Class 3</v>
      </c>
      <c r="Y6" s="10">
        <v>4</v>
      </c>
      <c r="Z6" s="10" t="str">
        <f t="shared" ca="1" si="7"/>
        <v>Class 3</v>
      </c>
    </row>
    <row r="7" spans="1:26" x14ac:dyDescent="0.3">
      <c r="A7" s="6" t="s">
        <v>124</v>
      </c>
      <c r="B7" s="6">
        <v>41.790424512821858</v>
      </c>
      <c r="C7" s="6" t="s">
        <v>5</v>
      </c>
      <c r="D7" s="6">
        <f t="shared" si="0"/>
        <v>5.5333333333333332</v>
      </c>
      <c r="E7" s="6">
        <f>IF(D7&lt;0,D7+24,D7)</f>
        <v>5.5333333333333332</v>
      </c>
      <c r="F7" s="6">
        <f t="shared" si="1"/>
        <v>0.22091310751104565</v>
      </c>
      <c r="G7" s="6">
        <f t="shared" si="2"/>
        <v>8.8441599210021649E-2</v>
      </c>
      <c r="H7" s="6" t="e">
        <f>IF($H$2=C7,B7,NA())</f>
        <v>#N/A</v>
      </c>
      <c r="I7" s="6">
        <f>IF($I$2=C7,B7,NA())</f>
        <v>41.790424512821858</v>
      </c>
      <c r="J7" s="6" t="e">
        <f>IF($J$2=C7,B7,NA())</f>
        <v>#N/A</v>
      </c>
      <c r="L7" s="8" t="s">
        <v>57</v>
      </c>
      <c r="M7" s="7">
        <f ca="1">IF(M6&lt;0,M6+24,M6)</f>
        <v>11</v>
      </c>
      <c r="O7" s="9">
        <f t="shared" ca="1" si="3"/>
        <v>5</v>
      </c>
      <c r="P7" s="9">
        <f t="shared" ca="1" si="4"/>
        <v>0.78624026192347052</v>
      </c>
      <c r="Q7" s="9" t="str">
        <f>C7</f>
        <v>Class 2</v>
      </c>
      <c r="V7" s="10">
        <v>5</v>
      </c>
      <c r="W7" s="10" t="str">
        <f t="shared" ca="1" si="6"/>
        <v>Class 2</v>
      </c>
      <c r="Y7" s="10">
        <v>5</v>
      </c>
      <c r="Z7" s="10" t="str">
        <f t="shared" ca="1" si="7"/>
        <v>Class 2</v>
      </c>
    </row>
    <row r="8" spans="1:26" x14ac:dyDescent="0.3">
      <c r="A8" s="6" t="s">
        <v>125</v>
      </c>
      <c r="B8" s="6">
        <v>46.902521484649938</v>
      </c>
      <c r="C8" s="6" t="s">
        <v>5</v>
      </c>
      <c r="D8" s="6">
        <f t="shared" si="0"/>
        <v>-5.05</v>
      </c>
      <c r="E8" s="6">
        <f>IF(D8&lt;0,D8+24,D8)</f>
        <v>18.95</v>
      </c>
      <c r="F8" s="6">
        <f t="shared" si="1"/>
        <v>0.81369661266568472</v>
      </c>
      <c r="G8" s="6">
        <f t="shared" si="2"/>
        <v>0.17562176264990986</v>
      </c>
      <c r="H8" s="6" t="e">
        <f>IF($H$2=C8,B8,NA())</f>
        <v>#N/A</v>
      </c>
      <c r="I8" s="6">
        <f>IF($I$2=C8,B8,NA())</f>
        <v>46.902521484649938</v>
      </c>
      <c r="J8" s="6" t="e">
        <f>IF($J$2=C8,B8,NA())</f>
        <v>#N/A</v>
      </c>
      <c r="M8">
        <f ca="1">(M7-MIN($E$3:$E$51))/(MAX($E$3:$E$51)-MIN($E$3:$E$51))</f>
        <v>0.46244477172312226</v>
      </c>
      <c r="O8" s="9">
        <f t="shared" ca="1" si="3"/>
        <v>6</v>
      </c>
      <c r="P8" s="9">
        <f t="shared" ca="1" si="4"/>
        <v>0.74856810228836324</v>
      </c>
      <c r="Q8" s="9" t="str">
        <f>C8</f>
        <v>Class 2</v>
      </c>
      <c r="Y8" s="10">
        <v>6</v>
      </c>
      <c r="Z8" s="10" t="str">
        <f t="shared" ca="1" si="7"/>
        <v>Class 2</v>
      </c>
    </row>
    <row r="9" spans="1:26" x14ac:dyDescent="0.3">
      <c r="A9" s="6" t="s">
        <v>126</v>
      </c>
      <c r="B9" s="6">
        <v>66.708835294130452</v>
      </c>
      <c r="C9" s="6" t="s">
        <v>5</v>
      </c>
      <c r="D9" s="6">
        <f t="shared" si="0"/>
        <v>15.350000000000001</v>
      </c>
      <c r="E9" s="6">
        <f>IF(D9&lt;0,D9+24,D9)</f>
        <v>15.350000000000001</v>
      </c>
      <c r="F9" s="6">
        <f t="shared" si="1"/>
        <v>0.65463917525773208</v>
      </c>
      <c r="G9" s="6">
        <f t="shared" si="2"/>
        <v>0.51339267829722268</v>
      </c>
      <c r="H9" s="6" t="e">
        <f>IF($H$2=C9,B9,NA())</f>
        <v>#N/A</v>
      </c>
      <c r="I9" s="6">
        <f>IF($I$2=C9,B9,NA())</f>
        <v>66.708835294130452</v>
      </c>
      <c r="J9" s="6" t="e">
        <f>IF($J$2=C9,B9,NA())</f>
        <v>#N/A</v>
      </c>
      <c r="O9" s="9">
        <f t="shared" ca="1" si="3"/>
        <v>31</v>
      </c>
      <c r="P9" s="9">
        <f t="shared" ca="1" si="4"/>
        <v>0.37608881370662722</v>
      </c>
      <c r="Q9" s="9" t="str">
        <f>C9</f>
        <v>Class 2</v>
      </c>
      <c r="Y9" s="10">
        <v>7</v>
      </c>
      <c r="Z9" s="10" t="str">
        <f t="shared" ca="1" si="7"/>
        <v>Class 1</v>
      </c>
    </row>
    <row r="10" spans="1:26" x14ac:dyDescent="0.3">
      <c r="A10" s="6" t="s">
        <v>127</v>
      </c>
      <c r="B10" s="6">
        <v>66.116732901411481</v>
      </c>
      <c r="C10" s="6" t="s">
        <v>7</v>
      </c>
      <c r="D10" s="6">
        <f t="shared" si="0"/>
        <v>-3.1333333333333333</v>
      </c>
      <c r="E10" s="6">
        <f>IF(D10&lt;0,D10+24,D10)</f>
        <v>20.866666666666667</v>
      </c>
      <c r="F10" s="6">
        <f t="shared" si="1"/>
        <v>0.89837997054491914</v>
      </c>
      <c r="G10" s="6">
        <f t="shared" si="2"/>
        <v>0.50329514226555983</v>
      </c>
      <c r="H10" s="6" t="e">
        <f>IF($H$2=C10,B10,NA())</f>
        <v>#N/A</v>
      </c>
      <c r="I10" s="6" t="e">
        <f>IF($I$2=C10,B10,NA())</f>
        <v>#N/A</v>
      </c>
      <c r="J10" s="6">
        <f>IF($J$2=C10,B10,NA())</f>
        <v>66.116732901411481</v>
      </c>
      <c r="O10" s="9">
        <f t="shared" ca="1" si="3"/>
        <v>17</v>
      </c>
      <c r="P10" s="9">
        <f t="shared" ca="1" si="4"/>
        <v>0.54879326251333371</v>
      </c>
      <c r="Q10" s="9" t="str">
        <f>C10</f>
        <v>Class 3</v>
      </c>
    </row>
    <row r="11" spans="1:26" x14ac:dyDescent="0.3">
      <c r="A11" s="6" t="s">
        <v>128</v>
      </c>
      <c r="B11" s="6">
        <v>53.838166595999638</v>
      </c>
      <c r="C11" s="6" t="s">
        <v>5</v>
      </c>
      <c r="D11" s="6">
        <f t="shared" si="0"/>
        <v>-5.5</v>
      </c>
      <c r="E11" s="6">
        <f>IF(D11&lt;0,D11+24,D11)</f>
        <v>18.5</v>
      </c>
      <c r="F11" s="6">
        <f t="shared" si="1"/>
        <v>0.79381443298969079</v>
      </c>
      <c r="G11" s="6">
        <f t="shared" si="2"/>
        <v>0.29390016732428481</v>
      </c>
      <c r="H11" s="6" t="e">
        <f>IF($H$2=C11,B11,NA())</f>
        <v>#N/A</v>
      </c>
      <c r="I11" s="6">
        <f>IF($I$2=C11,B11,NA())</f>
        <v>53.838166595999638</v>
      </c>
      <c r="J11" s="6" t="e">
        <f>IF($J$2=C11,B11,NA())</f>
        <v>#N/A</v>
      </c>
      <c r="O11" s="9">
        <f t="shared" ca="1" si="3"/>
        <v>11</v>
      </c>
      <c r="P11" s="9">
        <f t="shared" ca="1" si="4"/>
        <v>0.63592297242665252</v>
      </c>
      <c r="Q11" s="9" t="str">
        <f>C11</f>
        <v>Class 2</v>
      </c>
      <c r="S11" s="8" t="s">
        <v>64</v>
      </c>
      <c r="T11" s="8" t="e">
        <f ca="1">INDEX(T3:T5,MODE(MATCH(T3:T5,T3:T5,0)))</f>
        <v>#N/A</v>
      </c>
      <c r="U11" s="2"/>
      <c r="V11" s="8" t="s">
        <v>64</v>
      </c>
      <c r="W11" s="8" t="str">
        <f ca="1">INDEX(W3:W7,MODE(MATCH(W3:W7,W3:W7,0)))</f>
        <v>Class 3</v>
      </c>
      <c r="X11" s="2"/>
      <c r="Y11" s="8" t="s">
        <v>64</v>
      </c>
      <c r="Z11" s="8" t="str">
        <f ca="1">INDEX(Z3:Z9,MODE(MATCH(Z3:Z9,Z3:Z9,0)))</f>
        <v>Class 2</v>
      </c>
    </row>
    <row r="12" spans="1:26" x14ac:dyDescent="0.3">
      <c r="A12" s="6" t="s">
        <v>129</v>
      </c>
      <c r="B12" s="6">
        <v>76.102101171174311</v>
      </c>
      <c r="C12" s="6" t="s">
        <v>7</v>
      </c>
      <c r="D12" s="6">
        <f t="shared" si="0"/>
        <v>-5.166666666666667</v>
      </c>
      <c r="E12" s="6">
        <f>IF(D12&lt;0,D12+24,D12)</f>
        <v>18.833333333333332</v>
      </c>
      <c r="F12" s="6">
        <f t="shared" si="1"/>
        <v>0.808541973490427</v>
      </c>
      <c r="G12" s="6">
        <f t="shared" si="2"/>
        <v>0.67358260796950131</v>
      </c>
      <c r="H12" s="6" t="e">
        <f>IF($H$2=C12,B12,NA())</f>
        <v>#N/A</v>
      </c>
      <c r="I12" s="6" t="e">
        <f>IF($I$2=C12,B12,NA())</f>
        <v>#N/A</v>
      </c>
      <c r="J12" s="6">
        <f>IF($J$2=C12,B12,NA())</f>
        <v>76.102101171174311</v>
      </c>
      <c r="O12" s="9">
        <f t="shared" ca="1" si="3"/>
        <v>30</v>
      </c>
      <c r="P12" s="9">
        <f t="shared" ca="1" si="4"/>
        <v>0.38259468400338192</v>
      </c>
      <c r="Q12" s="9" t="str">
        <f>C12</f>
        <v>Class 3</v>
      </c>
      <c r="S12" s="8"/>
      <c r="T12" s="8" t="str">
        <f ca="1">_xlfn.IFNA(T11,T3)</f>
        <v>Class 3</v>
      </c>
      <c r="U12" s="2"/>
      <c r="V12" s="8"/>
      <c r="W12" s="8" t="str">
        <f ca="1">_xlfn.IFNA(W11,INDEX(W3:W6,MODE(MATCH(W3:W6,W3:W6,0))))</f>
        <v>Class 3</v>
      </c>
      <c r="X12" s="2"/>
      <c r="Y12" s="8"/>
      <c r="Z12" s="8" t="str">
        <f ca="1">_xlfn.IFNA(Z11,INDEX(Z3:Z8,MODE(MATCH(Z3:Z8,Z3:Z8,0))))</f>
        <v>Class 2</v>
      </c>
    </row>
    <row r="13" spans="1:26" x14ac:dyDescent="0.3">
      <c r="A13" s="6" t="s">
        <v>130</v>
      </c>
      <c r="B13" s="6">
        <v>72.429535962568309</v>
      </c>
      <c r="C13" s="6" t="s">
        <v>5</v>
      </c>
      <c r="D13" s="6">
        <f t="shared" si="0"/>
        <v>1.5166666666666666</v>
      </c>
      <c r="E13" s="6">
        <f>IF(D13&lt;0,D13+24,D13)</f>
        <v>1.5166666666666666</v>
      </c>
      <c r="F13" s="6">
        <f t="shared" si="1"/>
        <v>4.3446244477172317E-2</v>
      </c>
      <c r="G13" s="6">
        <f t="shared" si="2"/>
        <v>0.61095178603980216</v>
      </c>
      <c r="H13" s="6" t="e">
        <f>IF($H$2=C13,B13,NA())</f>
        <v>#N/A</v>
      </c>
      <c r="I13" s="6">
        <f>IF($I$2=C13,B13,NA())</f>
        <v>72.429535962568309</v>
      </c>
      <c r="J13" s="6" t="e">
        <f>IF($J$2=C13,B13,NA())</f>
        <v>#N/A</v>
      </c>
      <c r="O13" s="9">
        <f t="shared" ca="1" si="3"/>
        <v>22</v>
      </c>
      <c r="P13" s="9">
        <f t="shared" ca="1" si="4"/>
        <v>0.47592604627354484</v>
      </c>
      <c r="Q13" s="9" t="str">
        <f>C13</f>
        <v>Class 2</v>
      </c>
    </row>
    <row r="14" spans="1:26" x14ac:dyDescent="0.3">
      <c r="A14" s="6" t="s">
        <v>131</v>
      </c>
      <c r="B14" s="6">
        <v>76.831466954362227</v>
      </c>
      <c r="C14" s="6" t="s">
        <v>5</v>
      </c>
      <c r="D14" s="6">
        <f t="shared" si="0"/>
        <v>8.7166666666666668</v>
      </c>
      <c r="E14" s="6">
        <f>IF(D14&lt;0,D14+24,D14)</f>
        <v>8.7166666666666668</v>
      </c>
      <c r="F14" s="6">
        <f t="shared" si="1"/>
        <v>0.36156111929307805</v>
      </c>
      <c r="G14" s="6">
        <f t="shared" si="2"/>
        <v>0.68602099255731286</v>
      </c>
      <c r="H14" s="6" t="e">
        <f>IF($H$2=C14,B14,NA())</f>
        <v>#N/A</v>
      </c>
      <c r="I14" s="6">
        <f>IF($I$2=C14,B14,NA())</f>
        <v>76.831466954362227</v>
      </c>
      <c r="J14" s="6" t="e">
        <f>IF($J$2=C14,B14,NA())</f>
        <v>#N/A</v>
      </c>
      <c r="O14" s="9">
        <f t="shared" ca="1" si="3"/>
        <v>47</v>
      </c>
      <c r="P14" s="9">
        <f t="shared" ca="1" si="4"/>
        <v>0.18130282677965565</v>
      </c>
      <c r="Q14" s="9" t="str">
        <f>C14</f>
        <v>Class 2</v>
      </c>
    </row>
    <row r="15" spans="1:26" x14ac:dyDescent="0.3">
      <c r="A15" s="6" t="s">
        <v>132</v>
      </c>
      <c r="B15" s="6">
        <v>68.521677374010736</v>
      </c>
      <c r="C15" s="6" t="s">
        <v>5</v>
      </c>
      <c r="D15" s="6">
        <f t="shared" si="0"/>
        <v>12.966666666666665</v>
      </c>
      <c r="E15" s="6">
        <f>IF(D15&lt;0,D15+24,D15)</f>
        <v>12.966666666666665</v>
      </c>
      <c r="F15" s="6">
        <f t="shared" si="1"/>
        <v>0.5493372606774668</v>
      </c>
      <c r="G15" s="6">
        <f t="shared" si="2"/>
        <v>0.54430834161222308</v>
      </c>
      <c r="H15" s="6" t="e">
        <f>IF($H$2=C15,B15,NA())</f>
        <v>#N/A</v>
      </c>
      <c r="I15" s="6">
        <f>IF($I$2=C15,B15,NA())</f>
        <v>68.521677374010736</v>
      </c>
      <c r="J15" s="6" t="e">
        <f>IF($J$2=C15,B15,NA())</f>
        <v>#N/A</v>
      </c>
      <c r="O15" s="9">
        <f t="shared" ca="1" si="3"/>
        <v>40</v>
      </c>
      <c r="P15" s="9">
        <f t="shared" ca="1" si="4"/>
        <v>0.30499494787167786</v>
      </c>
      <c r="Q15" s="9" t="str">
        <f>C15</f>
        <v>Class 2</v>
      </c>
    </row>
    <row r="16" spans="1:26" x14ac:dyDescent="0.3">
      <c r="A16" s="6" t="s">
        <v>133</v>
      </c>
      <c r="B16" s="6">
        <v>48.86217897221907</v>
      </c>
      <c r="C16" s="6" t="s">
        <v>12</v>
      </c>
      <c r="D16" s="6">
        <f t="shared" si="0"/>
        <v>7.0666666666666664</v>
      </c>
      <c r="E16" s="6">
        <f>IF(D16&lt;0,D16+24,D16)</f>
        <v>7.0666666666666664</v>
      </c>
      <c r="F16" s="6">
        <f t="shared" si="1"/>
        <v>0.28865979381443296</v>
      </c>
      <c r="G16" s="6">
        <f t="shared" si="2"/>
        <v>0.20904117174836134</v>
      </c>
      <c r="H16" s="6">
        <f>IF($H$2=C16,B16,NA())</f>
        <v>48.86217897221907</v>
      </c>
      <c r="I16" s="6" t="e">
        <f>IF($I$2=C16,B16,NA())</f>
        <v>#N/A</v>
      </c>
      <c r="J16" s="6" t="e">
        <f>IF($J$2=C16,B16,NA())</f>
        <v>#N/A</v>
      </c>
      <c r="O16" s="9">
        <f t="shared" ca="1" si="3"/>
        <v>10</v>
      </c>
      <c r="P16" s="9">
        <f t="shared" ca="1" si="4"/>
        <v>0.65123817945344098</v>
      </c>
      <c r="Q16" s="9" t="str">
        <f>C16</f>
        <v>Class 1</v>
      </c>
    </row>
    <row r="17" spans="1:17" x14ac:dyDescent="0.3">
      <c r="A17" s="6" t="s">
        <v>134</v>
      </c>
      <c r="B17" s="6">
        <v>90.856134917736441</v>
      </c>
      <c r="C17" s="6" t="s">
        <v>7</v>
      </c>
      <c r="D17" s="6">
        <f t="shared" si="0"/>
        <v>9.4666666666666668</v>
      </c>
      <c r="E17" s="6">
        <f>IF(D17&lt;0,D17+24,D17)</f>
        <v>9.4666666666666668</v>
      </c>
      <c r="F17" s="6">
        <f t="shared" si="1"/>
        <v>0.39469808541973495</v>
      </c>
      <c r="G17" s="6">
        <f t="shared" si="2"/>
        <v>0.92519345974153799</v>
      </c>
      <c r="H17" s="6" t="e">
        <f>IF($H$2=C17,B17,NA())</f>
        <v>#N/A</v>
      </c>
      <c r="I17" s="6" t="e">
        <f>IF($I$2=C17,B17,NA())</f>
        <v>#N/A</v>
      </c>
      <c r="J17" s="6">
        <f>IF($J$2=C17,B17,NA())</f>
        <v>90.856134917736441</v>
      </c>
      <c r="O17" s="9">
        <f t="shared" ca="1" si="3"/>
        <v>49</v>
      </c>
      <c r="P17" s="9">
        <f t="shared" ca="1" si="4"/>
        <v>0.11147710338654226</v>
      </c>
      <c r="Q17" s="9" t="str">
        <f>C17</f>
        <v>Class 3</v>
      </c>
    </row>
    <row r="18" spans="1:17" x14ac:dyDescent="0.3">
      <c r="A18" s="6" t="s">
        <v>135</v>
      </c>
      <c r="B18" s="6">
        <v>60.005311163199337</v>
      </c>
      <c r="C18" s="6" t="s">
        <v>5</v>
      </c>
      <c r="D18" s="6">
        <f t="shared" si="0"/>
        <v>0.68333333333333357</v>
      </c>
      <c r="E18" s="6">
        <f>IF(D18&lt;0,D18+24,D18)</f>
        <v>0.68333333333333357</v>
      </c>
      <c r="F18" s="6">
        <f t="shared" si="1"/>
        <v>6.6273932253313851E-3</v>
      </c>
      <c r="G18" s="6">
        <f t="shared" si="2"/>
        <v>0.39907279497372167</v>
      </c>
      <c r="H18" s="6" t="e">
        <f>IF($H$2=C18,B18,NA())</f>
        <v>#N/A</v>
      </c>
      <c r="I18" s="6">
        <f>IF($I$2=C18,B18,NA())</f>
        <v>60.005311163199337</v>
      </c>
      <c r="J18" s="6" t="e">
        <f>IF($J$2=C18,B18,NA())</f>
        <v>#N/A</v>
      </c>
      <c r="O18" s="9">
        <f t="shared" ca="1" si="3"/>
        <v>12</v>
      </c>
      <c r="P18" s="9">
        <f t="shared" ca="1" si="4"/>
        <v>0.63186645729647806</v>
      </c>
      <c r="Q18" s="9" t="str">
        <f>C18</f>
        <v>Class 2</v>
      </c>
    </row>
    <row r="19" spans="1:17" x14ac:dyDescent="0.3">
      <c r="A19" s="6" t="s">
        <v>136</v>
      </c>
      <c r="B19" s="6">
        <v>53.770885371633256</v>
      </c>
      <c r="C19" s="6" t="s">
        <v>12</v>
      </c>
      <c r="D19" s="6">
        <f t="shared" si="0"/>
        <v>10.616666666666667</v>
      </c>
      <c r="E19" s="6">
        <f>IF(D19&lt;0,D19+24,D19)</f>
        <v>10.616666666666667</v>
      </c>
      <c r="F19" s="6">
        <f t="shared" si="1"/>
        <v>0.44550810014727543</v>
      </c>
      <c r="G19" s="6">
        <f t="shared" si="2"/>
        <v>0.292752773570015</v>
      </c>
      <c r="H19" s="6">
        <f>IF($H$2=C19,B19,NA())</f>
        <v>53.770885371633256</v>
      </c>
      <c r="I19" s="6" t="e">
        <f>IF($I$2=C19,B19,NA())</f>
        <v>#N/A</v>
      </c>
      <c r="J19" s="6" t="e">
        <f>IF($J$2=C19,B19,NA())</f>
        <v>#N/A</v>
      </c>
      <c r="O19" s="9">
        <f t="shared" ca="1" si="3"/>
        <v>19</v>
      </c>
      <c r="P19" s="9">
        <f t="shared" ca="1" si="4"/>
        <v>0.54417448361588294</v>
      </c>
      <c r="Q19" s="9" t="str">
        <f>C19</f>
        <v>Class 1</v>
      </c>
    </row>
    <row r="20" spans="1:17" x14ac:dyDescent="0.3">
      <c r="A20" s="6" t="s">
        <v>137</v>
      </c>
      <c r="B20" s="6">
        <v>64.424732716236662</v>
      </c>
      <c r="C20" s="6" t="s">
        <v>7</v>
      </c>
      <c r="D20" s="6">
        <f t="shared" si="0"/>
        <v>17.766666666666666</v>
      </c>
      <c r="E20" s="6">
        <f>IF(D20&lt;0,D20+24,D20)</f>
        <v>17.766666666666666</v>
      </c>
      <c r="F20" s="6">
        <f t="shared" si="1"/>
        <v>0.76141384388807076</v>
      </c>
      <c r="G20" s="6">
        <f t="shared" si="2"/>
        <v>0.47444028025946744</v>
      </c>
      <c r="H20" s="6" t="e">
        <f>IF($H$2=C20,B20,NA())</f>
        <v>#N/A</v>
      </c>
      <c r="I20" s="6" t="e">
        <f>IF($I$2=C20,B20,NA())</f>
        <v>#N/A</v>
      </c>
      <c r="J20" s="6">
        <f>IF($J$2=C20,B20,NA())</f>
        <v>64.424732716236662</v>
      </c>
      <c r="O20" s="9">
        <f t="shared" ca="1" si="3"/>
        <v>23</v>
      </c>
      <c r="P20" s="9">
        <f t="shared" ca="1" si="4"/>
        <v>0.46966824450659633</v>
      </c>
      <c r="Q20" s="9" t="str">
        <f>C20</f>
        <v>Class 3</v>
      </c>
    </row>
    <row r="21" spans="1:17" x14ac:dyDescent="0.3">
      <c r="A21" s="6" t="s">
        <v>138</v>
      </c>
      <c r="B21" s="6">
        <v>75.315230999546003</v>
      </c>
      <c r="C21" s="6" t="s">
        <v>7</v>
      </c>
      <c r="D21" s="6">
        <f t="shared" si="0"/>
        <v>16.95</v>
      </c>
      <c r="E21" s="6">
        <f>IF(D21&lt;0,D21+24,D21)</f>
        <v>16.95</v>
      </c>
      <c r="F21" s="6">
        <f t="shared" si="1"/>
        <v>0.72533136966126643</v>
      </c>
      <c r="G21" s="6">
        <f t="shared" si="2"/>
        <v>0.66016356084528416</v>
      </c>
      <c r="H21" s="6" t="e">
        <f>IF($H$2=C21,B21,NA())</f>
        <v>#N/A</v>
      </c>
      <c r="I21" s="6" t="e">
        <f>IF($I$2=C21,B21,NA())</f>
        <v>#N/A</v>
      </c>
      <c r="J21" s="6">
        <f>IF($J$2=C21,B21,NA())</f>
        <v>75.315230999546003</v>
      </c>
      <c r="O21" s="9">
        <f t="shared" ca="1" si="3"/>
        <v>39</v>
      </c>
      <c r="P21" s="9">
        <f t="shared" ca="1" si="4"/>
        <v>0.31664118043700257</v>
      </c>
      <c r="Q21" s="9" t="str">
        <f>C21</f>
        <v>Class 3</v>
      </c>
    </row>
    <row r="22" spans="1:17" x14ac:dyDescent="0.3">
      <c r="A22" s="6" t="s">
        <v>139</v>
      </c>
      <c r="B22" s="6">
        <v>50.519361915620593</v>
      </c>
      <c r="C22" s="6" t="s">
        <v>7</v>
      </c>
      <c r="D22" s="6">
        <f t="shared" si="0"/>
        <v>-1.25</v>
      </c>
      <c r="E22" s="6">
        <f>IF(D22&lt;0,D22+24,D22)</f>
        <v>22.75</v>
      </c>
      <c r="F22" s="6">
        <f t="shared" si="1"/>
        <v>0.98159057437407959</v>
      </c>
      <c r="G22" s="6">
        <f t="shared" si="2"/>
        <v>0.23730227099035717</v>
      </c>
      <c r="H22" s="6" t="e">
        <f>IF($H$2=C22,B22,NA())</f>
        <v>#N/A</v>
      </c>
      <c r="I22" s="6" t="e">
        <f>IF($I$2=C22,B22,NA())</f>
        <v>#N/A</v>
      </c>
      <c r="J22" s="6">
        <f>IF($J$2=C22,B22,NA())</f>
        <v>50.519361915620593</v>
      </c>
      <c r="O22" s="9">
        <f t="shared" ca="1" si="3"/>
        <v>4</v>
      </c>
      <c r="P22" s="9">
        <f t="shared" ca="1" si="4"/>
        <v>0.79293530689175351</v>
      </c>
      <c r="Q22" s="9" t="str">
        <f>C22</f>
        <v>Class 3</v>
      </c>
    </row>
    <row r="23" spans="1:17" x14ac:dyDescent="0.3">
      <c r="A23" s="6" t="s">
        <v>140</v>
      </c>
      <c r="B23" s="6">
        <v>68.732755156644473</v>
      </c>
      <c r="C23" s="6" t="s">
        <v>5</v>
      </c>
      <c r="D23" s="6">
        <f t="shared" si="0"/>
        <v>10.616666666666667</v>
      </c>
      <c r="E23" s="6">
        <f>IF(D23&lt;0,D23+24,D23)</f>
        <v>10.616666666666667</v>
      </c>
      <c r="F23" s="6">
        <f t="shared" si="1"/>
        <v>0.44550810014727543</v>
      </c>
      <c r="G23" s="6">
        <f t="shared" si="2"/>
        <v>0.54790799860033335</v>
      </c>
      <c r="H23" s="6" t="e">
        <f>IF($H$2=C23,B23,NA())</f>
        <v>#N/A</v>
      </c>
      <c r="I23" s="6">
        <f>IF($I$2=C23,B23,NA())</f>
        <v>68.732755156644473</v>
      </c>
      <c r="J23" s="6" t="e">
        <f>IF($J$2=C23,B23,NA())</f>
        <v>#N/A</v>
      </c>
      <c r="O23" s="9">
        <f t="shared" ca="1" si="3"/>
        <v>41</v>
      </c>
      <c r="P23" s="9">
        <f t="shared" ca="1" si="4"/>
        <v>0.28925190485868563</v>
      </c>
      <c r="Q23" s="9" t="str">
        <f>C23</f>
        <v>Class 2</v>
      </c>
    </row>
    <row r="24" spans="1:17" x14ac:dyDescent="0.3">
      <c r="A24" s="6" t="s">
        <v>141</v>
      </c>
      <c r="B24" s="6">
        <v>46.713295235477396</v>
      </c>
      <c r="C24" s="6" t="s">
        <v>12</v>
      </c>
      <c r="D24" s="6">
        <f t="shared" si="0"/>
        <v>5.7833333333333332</v>
      </c>
      <c r="E24" s="6">
        <f>IF(D24&lt;0,D24+24,D24)</f>
        <v>5.7833333333333332</v>
      </c>
      <c r="F24" s="6">
        <f t="shared" si="1"/>
        <v>0.23195876288659795</v>
      </c>
      <c r="G24" s="6">
        <f t="shared" si="2"/>
        <v>0.17239475513794555</v>
      </c>
      <c r="H24" s="6">
        <f>IF($H$2=C24,B24,NA())</f>
        <v>46.713295235477396</v>
      </c>
      <c r="I24" s="6" t="e">
        <f>IF($I$2=C24,B24,NA())</f>
        <v>#N/A</v>
      </c>
      <c r="J24" s="6" t="e">
        <f>IF($J$2=C24,B24,NA())</f>
        <v>#N/A</v>
      </c>
      <c r="O24" s="9">
        <f t="shared" ca="1" si="3"/>
        <v>8</v>
      </c>
      <c r="P24" s="9">
        <f t="shared" ca="1" si="4"/>
        <v>0.70311943222797013</v>
      </c>
      <c r="Q24" s="9" t="str">
        <f>C24</f>
        <v>Class 1</v>
      </c>
    </row>
    <row r="25" spans="1:17" x14ac:dyDescent="0.3">
      <c r="A25" s="6" t="s">
        <v>142</v>
      </c>
      <c r="B25" s="6">
        <v>65.634928931713745</v>
      </c>
      <c r="C25" s="6" t="s">
        <v>5</v>
      </c>
      <c r="D25" s="6">
        <f t="shared" si="0"/>
        <v>10.616666666666667</v>
      </c>
      <c r="E25" s="6">
        <f>IF(D25&lt;0,D25+24,D25)</f>
        <v>10.616666666666667</v>
      </c>
      <c r="F25" s="6">
        <f t="shared" si="1"/>
        <v>0.44550810014727543</v>
      </c>
      <c r="G25" s="6">
        <f t="shared" si="2"/>
        <v>0.49507860234941359</v>
      </c>
      <c r="H25" s="6" t="e">
        <f>IF($H$2=C25,B25,NA())</f>
        <v>#N/A</v>
      </c>
      <c r="I25" s="6">
        <f>IF($I$2=C25,B25,NA())</f>
        <v>65.634928931713745</v>
      </c>
      <c r="J25" s="6" t="e">
        <f>IF($J$2=C25,B25,NA())</f>
        <v>#N/A</v>
      </c>
      <c r="O25" s="9">
        <f t="shared" ca="1" si="3"/>
        <v>36</v>
      </c>
      <c r="P25" s="9">
        <f t="shared" ca="1" si="4"/>
        <v>0.34200465014861198</v>
      </c>
      <c r="Q25" s="9" t="str">
        <f>C25</f>
        <v>Class 2</v>
      </c>
    </row>
    <row r="26" spans="1:17" x14ac:dyDescent="0.3">
      <c r="A26" s="6" t="s">
        <v>143</v>
      </c>
      <c r="B26" s="6">
        <v>64.921799578895033</v>
      </c>
      <c r="C26" s="6" t="s">
        <v>7</v>
      </c>
      <c r="D26" s="6">
        <f t="shared" si="0"/>
        <v>-5.5</v>
      </c>
      <c r="E26" s="6">
        <f>IF(D26&lt;0,D26+24,D26)</f>
        <v>18.5</v>
      </c>
      <c r="F26" s="6">
        <f t="shared" si="1"/>
        <v>0.79381443298969079</v>
      </c>
      <c r="G26" s="6">
        <f t="shared" si="2"/>
        <v>0.48291710895929807</v>
      </c>
      <c r="H26" s="6" t="e">
        <f>IF($H$2=C26,B26,NA())</f>
        <v>#N/A</v>
      </c>
      <c r="I26" s="6" t="e">
        <f>IF($I$2=C26,B26,NA())</f>
        <v>#N/A</v>
      </c>
      <c r="J26" s="6">
        <f>IF($J$2=C26,B26,NA())</f>
        <v>64.921799578895033</v>
      </c>
      <c r="O26" s="9">
        <f t="shared" ca="1" si="3"/>
        <v>20</v>
      </c>
      <c r="P26" s="9">
        <f t="shared" ca="1" si="4"/>
        <v>0.48470862616264082</v>
      </c>
      <c r="Q26" s="9" t="str">
        <f>C26</f>
        <v>Class 3</v>
      </c>
    </row>
    <row r="27" spans="1:17" x14ac:dyDescent="0.3">
      <c r="A27" s="6" t="s">
        <v>144</v>
      </c>
      <c r="B27" s="6">
        <v>83.8522090105904</v>
      </c>
      <c r="C27" s="6" t="s">
        <v>7</v>
      </c>
      <c r="D27" s="6">
        <f t="shared" si="0"/>
        <v>-4.75</v>
      </c>
      <c r="E27" s="6">
        <f>IF(D27&lt;0,D27+24,D27)</f>
        <v>19.25</v>
      </c>
      <c r="F27" s="6">
        <f t="shared" si="1"/>
        <v>0.82695139911634763</v>
      </c>
      <c r="G27" s="6">
        <f t="shared" si="2"/>
        <v>0.80575061492251487</v>
      </c>
      <c r="H27" s="6" t="e">
        <f>IF($H$2=C27,B27,NA())</f>
        <v>#N/A</v>
      </c>
      <c r="I27" s="6" t="e">
        <f>IF($I$2=C27,B27,NA())</f>
        <v>#N/A</v>
      </c>
      <c r="J27" s="6">
        <f>IF($J$2=C27,B27,NA())</f>
        <v>83.8522090105904</v>
      </c>
      <c r="O27" s="9">
        <f t="shared" ca="1" si="3"/>
        <v>33</v>
      </c>
      <c r="P27" s="9">
        <f t="shared" ca="1" si="4"/>
        <v>0.36581511150159174</v>
      </c>
      <c r="Q27" s="9" t="str">
        <f>C27</f>
        <v>Class 3</v>
      </c>
    </row>
    <row r="28" spans="1:17" x14ac:dyDescent="0.3">
      <c r="A28" s="6" t="s">
        <v>145</v>
      </c>
      <c r="B28" s="6">
        <v>73.398767959325028</v>
      </c>
      <c r="C28" s="6" t="s">
        <v>7</v>
      </c>
      <c r="D28" s="6">
        <f t="shared" si="0"/>
        <v>5.5833333333333339</v>
      </c>
      <c r="E28" s="6">
        <f>IF(D28&lt;0,D28+24,D28)</f>
        <v>5.5833333333333339</v>
      </c>
      <c r="F28" s="6">
        <f t="shared" si="1"/>
        <v>0.22312223858615615</v>
      </c>
      <c r="G28" s="6">
        <f t="shared" si="2"/>
        <v>0.62748077685395798</v>
      </c>
      <c r="H28" s="6" t="e">
        <f>IF($H$2=C28,B28,NA())</f>
        <v>#N/A</v>
      </c>
      <c r="I28" s="6" t="e">
        <f>IF($I$2=C28,B28,NA())</f>
        <v>#N/A</v>
      </c>
      <c r="J28" s="6">
        <f>IF($J$2=C28,B28,NA())</f>
        <v>73.398767959325028</v>
      </c>
      <c r="O28" s="9">
        <f t="shared" ca="1" si="3"/>
        <v>38</v>
      </c>
      <c r="P28" s="9">
        <f t="shared" ca="1" si="4"/>
        <v>0.31785647729847327</v>
      </c>
      <c r="Q28" s="9" t="str">
        <f>C28</f>
        <v>Class 3</v>
      </c>
    </row>
    <row r="29" spans="1:17" x14ac:dyDescent="0.3">
      <c r="A29" s="6" t="s">
        <v>146</v>
      </c>
      <c r="B29" s="6">
        <v>41.805157827674478</v>
      </c>
      <c r="C29" s="6" t="s">
        <v>5</v>
      </c>
      <c r="D29" s="6">
        <f t="shared" si="0"/>
        <v>-4.1166666666666671</v>
      </c>
      <c r="E29" s="6">
        <f>IF(D29&lt;0,D29+24,D29)</f>
        <v>19.883333333333333</v>
      </c>
      <c r="F29" s="6">
        <f t="shared" si="1"/>
        <v>0.85493372606774676</v>
      </c>
      <c r="G29" s="6">
        <f t="shared" si="2"/>
        <v>8.8692856728011069E-2</v>
      </c>
      <c r="H29" s="6" t="e">
        <f>IF($H$2=C29,B29,NA())</f>
        <v>#N/A</v>
      </c>
      <c r="I29" s="6">
        <f>IF($I$2=C29,B29,NA())</f>
        <v>41.805157827674478</v>
      </c>
      <c r="J29" s="6" t="e">
        <f>IF($J$2=C29,B29,NA())</f>
        <v>#N/A</v>
      </c>
      <c r="O29" s="9">
        <f t="shared" ca="1" si="3"/>
        <v>3</v>
      </c>
      <c r="P29" s="9">
        <f t="shared" ca="1" si="4"/>
        <v>0.84469394116774366</v>
      </c>
      <c r="Q29" s="9" t="str">
        <f>C29</f>
        <v>Class 2</v>
      </c>
    </row>
    <row r="30" spans="1:17" x14ac:dyDescent="0.3">
      <c r="A30" s="6" t="s">
        <v>147</v>
      </c>
      <c r="B30" s="6">
        <v>44.535928970299935</v>
      </c>
      <c r="C30" s="6" t="s">
        <v>7</v>
      </c>
      <c r="D30" s="6">
        <f t="shared" si="0"/>
        <v>-0.83333333333333304</v>
      </c>
      <c r="E30" s="6">
        <f>IF(D30&lt;0,D30+24,D30)</f>
        <v>23.166666666666668</v>
      </c>
      <c r="F30" s="6">
        <f t="shared" si="1"/>
        <v>1</v>
      </c>
      <c r="G30" s="6">
        <f t="shared" si="2"/>
        <v>0.13526260605846721</v>
      </c>
      <c r="H30" s="6" t="e">
        <f>IF($H$2=C30,B30,NA())</f>
        <v>#N/A</v>
      </c>
      <c r="I30" s="6" t="e">
        <f>IF($I$2=C30,B30,NA())</f>
        <v>#N/A</v>
      </c>
      <c r="J30" s="6">
        <f>IF($J$2=C30,B30,NA())</f>
        <v>44.535928970299935</v>
      </c>
      <c r="O30" s="9">
        <f t="shared" ca="1" si="3"/>
        <v>1</v>
      </c>
      <c r="P30" s="9">
        <f t="shared" ca="1" si="4"/>
        <v>0.88370188259185389</v>
      </c>
      <c r="Q30" s="9" t="str">
        <f>C30</f>
        <v>Class 3</v>
      </c>
    </row>
    <row r="31" spans="1:17" x14ac:dyDescent="0.3">
      <c r="A31" s="6" t="s">
        <v>148</v>
      </c>
      <c r="B31" s="6">
        <v>61.06556077907404</v>
      </c>
      <c r="C31" s="6" t="s">
        <v>5</v>
      </c>
      <c r="D31" s="6">
        <f t="shared" si="0"/>
        <v>10.516666666666666</v>
      </c>
      <c r="E31" s="6">
        <f>IF(D31&lt;0,D31+24,D31)</f>
        <v>10.516666666666666</v>
      </c>
      <c r="F31" s="6">
        <f t="shared" si="1"/>
        <v>0.44108983799705448</v>
      </c>
      <c r="G31" s="6">
        <f t="shared" si="2"/>
        <v>0.41715397287555273</v>
      </c>
      <c r="H31" s="6" t="e">
        <f>IF($H$2=C31,B31,NA())</f>
        <v>#N/A</v>
      </c>
      <c r="I31" s="6">
        <f>IF($I$2=C31,B31,NA())</f>
        <v>61.06556077907404</v>
      </c>
      <c r="J31" s="6" t="e">
        <f>IF($J$2=C31,B31,NA())</f>
        <v>#N/A</v>
      </c>
      <c r="O31" s="9">
        <f t="shared" ca="1" si="3"/>
        <v>27</v>
      </c>
      <c r="P31" s="9">
        <f t="shared" ca="1" si="4"/>
        <v>0.4200528348878762</v>
      </c>
      <c r="Q31" s="9" t="str">
        <f>C31</f>
        <v>Class 2</v>
      </c>
    </row>
    <row r="32" spans="1:17" x14ac:dyDescent="0.3">
      <c r="A32" s="6" t="s">
        <v>149</v>
      </c>
      <c r="B32" s="6">
        <v>57.326709896337945</v>
      </c>
      <c r="C32" s="6" t="s">
        <v>7</v>
      </c>
      <c r="D32" s="6">
        <f t="shared" si="0"/>
        <v>17.733333333333334</v>
      </c>
      <c r="E32" s="6">
        <f>IF(D32&lt;0,D32+24,D32)</f>
        <v>17.733333333333334</v>
      </c>
      <c r="F32" s="6">
        <f t="shared" si="1"/>
        <v>0.75994108983799724</v>
      </c>
      <c r="G32" s="6">
        <f t="shared" si="2"/>
        <v>0.35339273500573537</v>
      </c>
      <c r="H32" s="6" t="e">
        <f>IF($H$2=C32,B32,NA())</f>
        <v>#N/A</v>
      </c>
      <c r="I32" s="6" t="e">
        <f>IF($I$2=C32,B32,NA())</f>
        <v>#N/A</v>
      </c>
      <c r="J32" s="6">
        <f>IF($J$2=C32,B32,NA())</f>
        <v>57.326709896337945</v>
      </c>
      <c r="O32" s="9">
        <f t="shared" ca="1" si="3"/>
        <v>15</v>
      </c>
      <c r="P32" s="9">
        <f t="shared" ca="1" si="4"/>
        <v>0.56749873611489499</v>
      </c>
      <c r="Q32" s="9" t="str">
        <f>C32</f>
        <v>Class 3</v>
      </c>
    </row>
    <row r="33" spans="1:17" x14ac:dyDescent="0.3">
      <c r="A33" s="6" t="s">
        <v>150</v>
      </c>
      <c r="B33" s="6">
        <v>64.007326753626714</v>
      </c>
      <c r="C33" s="6" t="s">
        <v>5</v>
      </c>
      <c r="D33" s="6">
        <f t="shared" si="0"/>
        <v>5.5833333333333339</v>
      </c>
      <c r="E33" s="6">
        <f>IF(D33&lt;0,D33+24,D33)</f>
        <v>5.5833333333333339</v>
      </c>
      <c r="F33" s="6">
        <f t="shared" si="1"/>
        <v>0.22312223858615615</v>
      </c>
      <c r="G33" s="6">
        <f t="shared" si="2"/>
        <v>0.46732196457773145</v>
      </c>
      <c r="H33" s="6" t="e">
        <f>IF($H$2=C33,B33,NA())</f>
        <v>#N/A</v>
      </c>
      <c r="I33" s="6">
        <f>IF($I$2=C33,B33,NA())</f>
        <v>64.007326753626714</v>
      </c>
      <c r="J33" s="6" t="e">
        <f>IF($J$2=C33,B33,NA())</f>
        <v>#N/A</v>
      </c>
      <c r="O33" s="9">
        <f t="shared" ca="1" si="3"/>
        <v>26</v>
      </c>
      <c r="P33" s="9">
        <f t="shared" ca="1" si="4"/>
        <v>0.44010060139440949</v>
      </c>
      <c r="Q33" s="9" t="str">
        <f>C33</f>
        <v>Class 2</v>
      </c>
    </row>
    <row r="34" spans="1:17" x14ac:dyDescent="0.3">
      <c r="A34" s="6" t="s">
        <v>151</v>
      </c>
      <c r="B34" s="6">
        <v>95.24266360544533</v>
      </c>
      <c r="C34" s="6" t="s">
        <v>7</v>
      </c>
      <c r="D34" s="6">
        <f t="shared" si="0"/>
        <v>-0.86666666666666625</v>
      </c>
      <c r="E34" s="6">
        <f>IF(D34&lt;0,D34+24,D34)</f>
        <v>23.133333333333333</v>
      </c>
      <c r="F34" s="6">
        <f t="shared" si="1"/>
        <v>0.99852724594992648</v>
      </c>
      <c r="G34" s="6">
        <f t="shared" si="2"/>
        <v>1</v>
      </c>
      <c r="H34" s="6" t="e">
        <f>IF($H$2=C34,B34,NA())</f>
        <v>#N/A</v>
      </c>
      <c r="I34" s="6" t="e">
        <f>IF($I$2=C34,B34,NA())</f>
        <v>#N/A</v>
      </c>
      <c r="J34" s="6">
        <f>IF($J$2=C34,B34,NA())</f>
        <v>95.24266360544533</v>
      </c>
      <c r="O34" s="9">
        <f t="shared" ca="1" si="3"/>
        <v>16</v>
      </c>
      <c r="P34" s="9">
        <f t="shared" ca="1" si="4"/>
        <v>0.56041340948344176</v>
      </c>
      <c r="Q34" s="9" t="str">
        <f>C34</f>
        <v>Class 3</v>
      </c>
    </row>
    <row r="35" spans="1:17" x14ac:dyDescent="0.3">
      <c r="A35" s="6" t="s">
        <v>152</v>
      </c>
      <c r="B35" s="6">
        <v>63.98239788049333</v>
      </c>
      <c r="C35" s="6" t="s">
        <v>7</v>
      </c>
      <c r="D35" s="6">
        <f t="shared" si="0"/>
        <v>17.983333333333334</v>
      </c>
      <c r="E35" s="6">
        <f>IF(D35&lt;0,D35+24,D35)</f>
        <v>17.983333333333334</v>
      </c>
      <c r="F35" s="6">
        <f t="shared" si="1"/>
        <v>0.77098674521354948</v>
      </c>
      <c r="G35" s="6">
        <f t="shared" si="2"/>
        <v>0.46689683507684027</v>
      </c>
      <c r="H35" s="6" t="e">
        <f>IF($H$2=C35,B35,NA())</f>
        <v>#N/A</v>
      </c>
      <c r="I35" s="6" t="e">
        <f>IF($I$2=C35,B35,NA())</f>
        <v>#N/A</v>
      </c>
      <c r="J35" s="6">
        <f>IF($J$2=C35,B35,NA())</f>
        <v>63.98239788049333</v>
      </c>
      <c r="O35" s="9">
        <f t="shared" ca="1" si="3"/>
        <v>21</v>
      </c>
      <c r="P35" s="9">
        <f t="shared" ca="1" si="4"/>
        <v>0.48158657653147602</v>
      </c>
      <c r="Q35" s="9" t="str">
        <f>C35</f>
        <v>Class 3</v>
      </c>
    </row>
    <row r="36" spans="1:17" x14ac:dyDescent="0.3">
      <c r="A36" s="6" t="s">
        <v>153</v>
      </c>
      <c r="B36" s="6">
        <v>77.763649390767725</v>
      </c>
      <c r="C36" s="6" t="s">
        <v>7</v>
      </c>
      <c r="D36" s="6">
        <f t="shared" si="0"/>
        <v>1.0666666666666664</v>
      </c>
      <c r="E36" s="6">
        <f>IF(D36&lt;0,D36+24,D36)</f>
        <v>1.0666666666666664</v>
      </c>
      <c r="F36" s="6">
        <f t="shared" si="1"/>
        <v>2.3564064801178199E-2</v>
      </c>
      <c r="G36" s="6">
        <f t="shared" si="2"/>
        <v>0.7019181513180871</v>
      </c>
      <c r="H36" s="6" t="e">
        <f>IF($H$2=C36,B36,NA())</f>
        <v>#N/A</v>
      </c>
      <c r="I36" s="6" t="e">
        <f>IF($I$2=C36,B36,NA())</f>
        <v>#N/A</v>
      </c>
      <c r="J36" s="6">
        <f>IF($J$2=C36,B36,NA())</f>
        <v>77.763649390767725</v>
      </c>
      <c r="O36" s="9">
        <f t="shared" ca="1" si="3"/>
        <v>24</v>
      </c>
      <c r="P36" s="9">
        <f t="shared" ca="1" si="4"/>
        <v>0.4590997913809346</v>
      </c>
      <c r="Q36" s="9" t="str">
        <f>C36</f>
        <v>Class 3</v>
      </c>
    </row>
    <row r="37" spans="1:17" x14ac:dyDescent="0.3">
      <c r="A37" s="6" t="s">
        <v>154</v>
      </c>
      <c r="B37" s="6">
        <v>75.211694586381441</v>
      </c>
      <c r="C37" s="6" t="s">
        <v>7</v>
      </c>
      <c r="D37" s="6">
        <f t="shared" si="0"/>
        <v>6.1833333333333336</v>
      </c>
      <c r="E37" s="6">
        <f>IF(D37&lt;0,D37+24,D37)</f>
        <v>6.1833333333333336</v>
      </c>
      <c r="F37" s="6">
        <f t="shared" si="1"/>
        <v>0.24963181148748162</v>
      </c>
      <c r="G37" s="6">
        <f t="shared" si="2"/>
        <v>0.65839788201105842</v>
      </c>
      <c r="H37" s="6" t="e">
        <f>IF($H$2=C37,B37,NA())</f>
        <v>#N/A</v>
      </c>
      <c r="I37" s="6" t="e">
        <f>IF($I$2=C37,B37,NA())</f>
        <v>#N/A</v>
      </c>
      <c r="J37" s="6">
        <f>IF($J$2=C37,B37,NA())</f>
        <v>75.211694586381441</v>
      </c>
      <c r="O37" s="9">
        <f t="shared" ca="1" si="3"/>
        <v>42</v>
      </c>
      <c r="P37" s="9">
        <f t="shared" ca="1" si="4"/>
        <v>0.27761129715008448</v>
      </c>
      <c r="Q37" s="9" t="str">
        <f>C37</f>
        <v>Class 3</v>
      </c>
    </row>
    <row r="38" spans="1:17" x14ac:dyDescent="0.3">
      <c r="A38" s="6" t="s">
        <v>155</v>
      </c>
      <c r="B38" s="6">
        <v>47.234485744899743</v>
      </c>
      <c r="C38" s="6" t="s">
        <v>12</v>
      </c>
      <c r="D38" s="6">
        <f t="shared" si="0"/>
        <v>3.4000000000000004</v>
      </c>
      <c r="E38" s="6">
        <f>IF(D38&lt;0,D38+24,D38)</f>
        <v>3.4000000000000004</v>
      </c>
      <c r="F38" s="6">
        <f t="shared" si="1"/>
        <v>0.12665684830633286</v>
      </c>
      <c r="G38" s="6">
        <f t="shared" si="2"/>
        <v>0.18128298125046985</v>
      </c>
      <c r="H38" s="6">
        <f>IF($H$2=C38,B38,NA())</f>
        <v>47.234485744899743</v>
      </c>
      <c r="I38" s="6" t="e">
        <f>IF($I$2=C38,B38,NA())</f>
        <v>#N/A</v>
      </c>
      <c r="J38" s="6" t="e">
        <f>IF($J$2=C38,B38,NA())</f>
        <v>#N/A</v>
      </c>
      <c r="O38" s="9">
        <f t="shared" ca="1" si="3"/>
        <v>7</v>
      </c>
      <c r="P38" s="9">
        <f t="shared" ca="1" si="4"/>
        <v>0.73639481387144834</v>
      </c>
      <c r="Q38" s="9" t="str">
        <f>C38</f>
        <v>Class 1</v>
      </c>
    </row>
    <row r="39" spans="1:17" x14ac:dyDescent="0.3">
      <c r="A39" s="6" t="s">
        <v>156</v>
      </c>
      <c r="B39" s="6">
        <v>65.480318129643379</v>
      </c>
      <c r="C39" s="6" t="s">
        <v>5</v>
      </c>
      <c r="D39" s="6">
        <f t="shared" si="0"/>
        <v>8.9333333333333336</v>
      </c>
      <c r="E39" s="6">
        <f>IF(D39&lt;0,D39+24,D39)</f>
        <v>8.9333333333333336</v>
      </c>
      <c r="F39" s="6">
        <f t="shared" si="1"/>
        <v>0.37113402061855671</v>
      </c>
      <c r="G39" s="6">
        <f t="shared" si="2"/>
        <v>0.49244191625594802</v>
      </c>
      <c r="H39" s="6" t="e">
        <f>IF($H$2=C39,B39,NA())</f>
        <v>#N/A</v>
      </c>
      <c r="I39" s="6">
        <f>IF($I$2=C39,B39,NA())</f>
        <v>65.480318129643379</v>
      </c>
      <c r="J39" s="6" t="e">
        <f>IF($J$2=C39,B39,NA())</f>
        <v>#N/A</v>
      </c>
      <c r="O39" s="9">
        <f t="shared" ca="1" si="3"/>
        <v>35</v>
      </c>
      <c r="P39" s="9">
        <f t="shared" ca="1" si="4"/>
        <v>0.35612671934970991</v>
      </c>
      <c r="Q39" s="9" t="str">
        <f>C39</f>
        <v>Class 2</v>
      </c>
    </row>
    <row r="40" spans="1:17" x14ac:dyDescent="0.3">
      <c r="A40" s="6" t="s">
        <v>157</v>
      </c>
      <c r="B40" s="6">
        <v>74.427852799056922</v>
      </c>
      <c r="C40" s="6" t="s">
        <v>7</v>
      </c>
      <c r="D40" s="6">
        <f t="shared" si="0"/>
        <v>13.399999999999999</v>
      </c>
      <c r="E40" s="6">
        <f>IF(D40&lt;0,D40+24,D40)</f>
        <v>13.399999999999999</v>
      </c>
      <c r="F40" s="6">
        <f t="shared" si="1"/>
        <v>0.56848306332842413</v>
      </c>
      <c r="G40" s="6">
        <f t="shared" si="2"/>
        <v>0.64503048004146524</v>
      </c>
      <c r="H40" s="6" t="e">
        <f>IF($H$2=C40,B40,NA())</f>
        <v>#N/A</v>
      </c>
      <c r="I40" s="6" t="e">
        <f>IF($I$2=C40,B40,NA())</f>
        <v>#N/A</v>
      </c>
      <c r="J40" s="6">
        <f>IF($J$2=C40,B40,NA())</f>
        <v>74.427852799056922</v>
      </c>
      <c r="O40" s="9">
        <f t="shared" ca="1" si="3"/>
        <v>45</v>
      </c>
      <c r="P40" s="9">
        <f t="shared" ca="1" si="4"/>
        <v>0.21901457201811411</v>
      </c>
      <c r="Q40" s="9" t="str">
        <f>C40</f>
        <v>Class 3</v>
      </c>
    </row>
    <row r="41" spans="1:17" x14ac:dyDescent="0.3">
      <c r="A41" s="6" t="s">
        <v>158</v>
      </c>
      <c r="B41" s="6">
        <v>71.836798860384519</v>
      </c>
      <c r="C41" s="6" t="s">
        <v>5</v>
      </c>
      <c r="D41" s="6">
        <f t="shared" si="0"/>
        <v>11.8</v>
      </c>
      <c r="E41" s="6">
        <f>IF(D41&lt;0,D41+24,D41)</f>
        <v>11.8</v>
      </c>
      <c r="F41" s="6">
        <f t="shared" si="1"/>
        <v>0.49779086892488961</v>
      </c>
      <c r="G41" s="6">
        <f t="shared" si="2"/>
        <v>0.60084342586392125</v>
      </c>
      <c r="H41" s="6" t="e">
        <f>IF($H$2=C41,B41,NA())</f>
        <v>#N/A</v>
      </c>
      <c r="I41" s="6">
        <f>IF($I$2=C41,B41,NA())</f>
        <v>71.836798860384519</v>
      </c>
      <c r="J41" s="6" t="e">
        <f>IF($J$2=C41,B41,NA())</f>
        <v>#N/A</v>
      </c>
      <c r="O41" s="9">
        <f t="shared" ca="1" si="3"/>
        <v>44</v>
      </c>
      <c r="P41" s="9">
        <f t="shared" ca="1" si="4"/>
        <v>0.23845442837780859</v>
      </c>
      <c r="Q41" s="9" t="str">
        <f>C41</f>
        <v>Class 2</v>
      </c>
    </row>
    <row r="42" spans="1:17" x14ac:dyDescent="0.3">
      <c r="A42" s="6" t="s">
        <v>159</v>
      </c>
      <c r="B42" s="6">
        <v>84.335102473215613</v>
      </c>
      <c r="C42" s="6" t="s">
        <v>7</v>
      </c>
      <c r="D42" s="6">
        <f t="shared" si="0"/>
        <v>-4.2833333333333332</v>
      </c>
      <c r="E42" s="6">
        <f>IF(D42&lt;0,D42+24,D42)</f>
        <v>19.716666666666669</v>
      </c>
      <c r="F42" s="6">
        <f t="shared" si="1"/>
        <v>0.84756995581737871</v>
      </c>
      <c r="G42" s="6">
        <f t="shared" si="2"/>
        <v>0.81398573472319913</v>
      </c>
      <c r="H42" s="6" t="e">
        <f>IF($H$2=C42,B42,NA())</f>
        <v>#N/A</v>
      </c>
      <c r="I42" s="6" t="e">
        <f>IF($I$2=C42,B42,NA())</f>
        <v>#N/A</v>
      </c>
      <c r="J42" s="6">
        <f>IF($J$2=C42,B42,NA())</f>
        <v>84.335102473215613</v>
      </c>
      <c r="O42" s="9">
        <f t="shared" ca="1" si="3"/>
        <v>29</v>
      </c>
      <c r="P42" s="9">
        <f t="shared" ca="1" si="4"/>
        <v>0.38579229421512873</v>
      </c>
      <c r="Q42" s="9" t="str">
        <f>C42</f>
        <v>Class 3</v>
      </c>
    </row>
    <row r="43" spans="1:17" x14ac:dyDescent="0.3">
      <c r="A43" s="6" t="s">
        <v>160</v>
      </c>
      <c r="B43" s="6">
        <v>36.60435908617319</v>
      </c>
      <c r="C43" s="6" t="s">
        <v>12</v>
      </c>
      <c r="D43" s="6">
        <f t="shared" si="0"/>
        <v>4.6500000000000004</v>
      </c>
      <c r="E43" s="6">
        <f>IF(D43&lt;0,D43+24,D43)</f>
        <v>4.6500000000000004</v>
      </c>
      <c r="F43" s="6">
        <f t="shared" si="1"/>
        <v>0.18188512518409428</v>
      </c>
      <c r="G43" s="6">
        <f t="shared" si="2"/>
        <v>0</v>
      </c>
      <c r="H43" s="6">
        <f>IF($H$2=C43,B43,NA())</f>
        <v>36.60435908617319</v>
      </c>
      <c r="I43" s="6" t="e">
        <f>IF($I$2=C43,B43,NA())</f>
        <v>#N/A</v>
      </c>
      <c r="J43" s="6" t="e">
        <f>IF($J$2=C43,B43,NA())</f>
        <v>#N/A</v>
      </c>
      <c r="O43" s="9">
        <f t="shared" ca="1" si="3"/>
        <v>2</v>
      </c>
      <c r="P43" s="9">
        <f t="shared" ca="1" si="4"/>
        <v>0.88245098560988333</v>
      </c>
      <c r="Q43" s="9" t="str">
        <f>C43</f>
        <v>Class 1</v>
      </c>
    </row>
    <row r="44" spans="1:17" x14ac:dyDescent="0.3">
      <c r="A44" s="6" t="s">
        <v>161</v>
      </c>
      <c r="B44" s="6">
        <v>75.72347907898876</v>
      </c>
      <c r="C44" s="6" t="s">
        <v>7</v>
      </c>
      <c r="D44" s="6">
        <f t="shared" si="0"/>
        <v>4.2833333333333332</v>
      </c>
      <c r="E44" s="6">
        <f>IF(D44&lt;0,D44+24,D44)</f>
        <v>4.2833333333333332</v>
      </c>
      <c r="F44" s="6">
        <f t="shared" si="1"/>
        <v>0.16568483063328424</v>
      </c>
      <c r="G44" s="6">
        <f t="shared" si="2"/>
        <v>0.66712570074325106</v>
      </c>
      <c r="H44" s="6" t="e">
        <f>IF($H$2=C44,B44,NA())</f>
        <v>#N/A</v>
      </c>
      <c r="I44" s="6" t="e">
        <f>IF($I$2=C44,B44,NA())</f>
        <v>#N/A</v>
      </c>
      <c r="J44" s="6">
        <f>IF($J$2=C44,B44,NA())</f>
        <v>75.72347907898876</v>
      </c>
      <c r="O44" s="9">
        <f t="shared" ca="1" si="3"/>
        <v>37</v>
      </c>
      <c r="P44" s="9">
        <f t="shared" ca="1" si="4"/>
        <v>0.34177415273675515</v>
      </c>
      <c r="Q44" s="9" t="str">
        <f>C44</f>
        <v>Class 3</v>
      </c>
    </row>
    <row r="45" spans="1:17" x14ac:dyDescent="0.3">
      <c r="A45" s="6" t="s">
        <v>162</v>
      </c>
      <c r="B45" s="6">
        <v>76.51776176536606</v>
      </c>
      <c r="C45" s="6" t="s">
        <v>7</v>
      </c>
      <c r="D45" s="6">
        <f t="shared" si="0"/>
        <v>6.5333333333333332</v>
      </c>
      <c r="E45" s="6">
        <f>IF(D45&lt;0,D45+24,D45)</f>
        <v>6.5333333333333332</v>
      </c>
      <c r="F45" s="6">
        <f t="shared" si="1"/>
        <v>0.26509572901325479</v>
      </c>
      <c r="G45" s="6">
        <f t="shared" si="2"/>
        <v>0.68067115866344463</v>
      </c>
      <c r="H45" s="6" t="e">
        <f>IF($H$2=C45,B45,NA())</f>
        <v>#N/A</v>
      </c>
      <c r="I45" s="6" t="e">
        <f>IF($I$2=C45,B45,NA())</f>
        <v>#N/A</v>
      </c>
      <c r="J45" s="6">
        <f>IF($J$2=C45,B45,NA())</f>
        <v>76.51776176536606</v>
      </c>
      <c r="O45" s="9">
        <f t="shared" ca="1" si="3"/>
        <v>43</v>
      </c>
      <c r="P45" s="9">
        <f t="shared" ca="1" si="4"/>
        <v>0.25155574970135458</v>
      </c>
      <c r="Q45" s="9" t="str">
        <f>C45</f>
        <v>Class 3</v>
      </c>
    </row>
    <row r="46" spans="1:17" x14ac:dyDescent="0.3">
      <c r="A46" s="6" t="s">
        <v>163</v>
      </c>
      <c r="B46" s="6">
        <v>57.575609164317363</v>
      </c>
      <c r="C46" s="6" t="s">
        <v>5</v>
      </c>
      <c r="D46" s="6">
        <f t="shared" si="0"/>
        <v>-4.75</v>
      </c>
      <c r="E46" s="6">
        <f>IF(D46&lt;0,D46+24,D46)</f>
        <v>19.25</v>
      </c>
      <c r="F46" s="6">
        <f t="shared" si="1"/>
        <v>0.82695139911634763</v>
      </c>
      <c r="G46" s="6">
        <f t="shared" si="2"/>
        <v>0.3576373882237972</v>
      </c>
      <c r="H46" s="6" t="e">
        <f>IF($H$2=C46,B46,NA())</f>
        <v>#N/A</v>
      </c>
      <c r="I46" s="6">
        <f>IF($I$2=C46,B46,NA())</f>
        <v>57.575609164317363</v>
      </c>
      <c r="J46" s="6" t="e">
        <f>IF($J$2=C46,B46,NA())</f>
        <v>#N/A</v>
      </c>
      <c r="O46" s="9">
        <f t="shared" ca="1" si="3"/>
        <v>14</v>
      </c>
      <c r="P46" s="9">
        <f t="shared" ca="1" si="4"/>
        <v>0.60193954845209552</v>
      </c>
      <c r="Q46" s="9" t="str">
        <f>C46</f>
        <v>Class 2</v>
      </c>
    </row>
    <row r="47" spans="1:17" x14ac:dyDescent="0.3">
      <c r="A47" s="6" t="s">
        <v>164</v>
      </c>
      <c r="B47" s="6">
        <v>72.788991094578961</v>
      </c>
      <c r="C47" s="6" t="s">
        <v>5</v>
      </c>
      <c r="D47" s="6">
        <f t="shared" si="0"/>
        <v>2.9666666666666668</v>
      </c>
      <c r="E47" s="6">
        <f>IF(D47&lt;0,D47+24,D47)</f>
        <v>2.9666666666666668</v>
      </c>
      <c r="F47" s="6">
        <f t="shared" si="1"/>
        <v>0.10751104565537556</v>
      </c>
      <c r="G47" s="6">
        <f t="shared" si="2"/>
        <v>0.61708182569489678</v>
      </c>
      <c r="H47" s="6" t="e">
        <f>IF($H$2=C47,B47,NA())</f>
        <v>#N/A</v>
      </c>
      <c r="I47" s="6">
        <f>IF($I$2=C47,B47,NA())</f>
        <v>72.788991094578961</v>
      </c>
      <c r="J47" s="6" t="e">
        <f>IF($J$2=C47,B47,NA())</f>
        <v>#N/A</v>
      </c>
      <c r="O47" s="9">
        <f t="shared" ca="1" si="3"/>
        <v>28</v>
      </c>
      <c r="P47" s="9">
        <f t="shared" ca="1" si="4"/>
        <v>0.41736568844093763</v>
      </c>
      <c r="Q47" s="9" t="str">
        <f>C47</f>
        <v>Class 2</v>
      </c>
    </row>
    <row r="48" spans="1:17" x14ac:dyDescent="0.3">
      <c r="A48" s="6" t="s">
        <v>165</v>
      </c>
      <c r="B48" s="6">
        <v>64.703242743012964</v>
      </c>
      <c r="C48" s="6" t="s">
        <v>118</v>
      </c>
      <c r="D48" s="6">
        <f t="shared" si="0"/>
        <v>10.466666666666665</v>
      </c>
      <c r="E48" s="6">
        <f>IF(D48&lt;0,D48+24,D48)</f>
        <v>10.466666666666665</v>
      </c>
      <c r="F48" s="6">
        <f t="shared" si="1"/>
        <v>0.43888070692194397</v>
      </c>
      <c r="G48" s="6">
        <f t="shared" si="2"/>
        <v>0.47918990644766613</v>
      </c>
      <c r="H48" s="6" t="e">
        <f>IF($H$2=C48,B48,NA())</f>
        <v>#N/A</v>
      </c>
      <c r="I48" s="6" t="e">
        <f>IF($I$2=C48,B48,NA())</f>
        <v>#N/A</v>
      </c>
      <c r="J48" s="6" t="e">
        <f>IF($J$2=C48,B48,NA())</f>
        <v>#N/A</v>
      </c>
      <c r="O48" s="9">
        <f t="shared" ca="1" si="3"/>
        <v>34</v>
      </c>
      <c r="P48" s="9">
        <f t="shared" ca="1" si="4"/>
        <v>0.35824953159354472</v>
      </c>
      <c r="Q48" s="9" t="str">
        <f>C48</f>
        <v>Class2</v>
      </c>
    </row>
    <row r="49" spans="1:17" x14ac:dyDescent="0.3">
      <c r="A49" s="6" t="s">
        <v>166</v>
      </c>
      <c r="B49" s="6">
        <v>74.833817001415753</v>
      </c>
      <c r="C49" s="6" t="s">
        <v>5</v>
      </c>
      <c r="D49" s="6">
        <f t="shared" si="0"/>
        <v>11.899999999999999</v>
      </c>
      <c r="E49" s="6">
        <f>IF(D49&lt;0,D49+24,D49)</f>
        <v>11.899999999999999</v>
      </c>
      <c r="F49" s="6">
        <f t="shared" si="1"/>
        <v>0.50220913107511045</v>
      </c>
      <c r="G49" s="6">
        <f t="shared" si="2"/>
        <v>0.65195367138690075</v>
      </c>
      <c r="H49" s="6" t="e">
        <f>IF($H$2=C49,B49,NA())</f>
        <v>#N/A</v>
      </c>
      <c r="I49" s="6">
        <f>IF($I$2=C49,B49,NA())</f>
        <v>74.833817001415753</v>
      </c>
      <c r="J49" s="6" t="e">
        <f>IF($J$2=C49,B49,NA())</f>
        <v>#N/A</v>
      </c>
      <c r="O49" s="9">
        <f t="shared" ca="1" si="3"/>
        <v>46</v>
      </c>
      <c r="P49" s="9">
        <f t="shared" ca="1" si="4"/>
        <v>0.18894171698503007</v>
      </c>
      <c r="Q49" s="9" t="str">
        <f>C49</f>
        <v>Class 2</v>
      </c>
    </row>
    <row r="50" spans="1:17" x14ac:dyDescent="0.3">
      <c r="A50" s="6" t="s">
        <v>167</v>
      </c>
      <c r="B50" s="6">
        <v>66.418594705906031</v>
      </c>
      <c r="C50" s="6" t="s">
        <v>5</v>
      </c>
      <c r="D50" s="6">
        <f t="shared" si="0"/>
        <v>3.8333333333333339</v>
      </c>
      <c r="E50" s="6">
        <f>IF(D50&lt;0,D50+24,D50)</f>
        <v>3.8333333333333339</v>
      </c>
      <c r="F50" s="6">
        <f t="shared" si="1"/>
        <v>0.14580265095729017</v>
      </c>
      <c r="G50" s="6">
        <f t="shared" si="2"/>
        <v>0.50844300264401499</v>
      </c>
      <c r="H50" s="6" t="e">
        <f>IF($H$2=C50,B50,NA())</f>
        <v>#N/A</v>
      </c>
      <c r="I50" s="6">
        <f>IF($I$2=C50,B50,NA())</f>
        <v>66.418594705906031</v>
      </c>
      <c r="J50" s="6" t="e">
        <f>IF($J$2=C50,B50,NA())</f>
        <v>#N/A</v>
      </c>
      <c r="O50" s="9">
        <f t="shared" ca="1" si="3"/>
        <v>25</v>
      </c>
      <c r="P50" s="9">
        <f t="shared" ca="1" si="4"/>
        <v>0.45606031583283668</v>
      </c>
      <c r="Q50" s="9" t="str">
        <f>C50</f>
        <v>Class 2</v>
      </c>
    </row>
    <row r="51" spans="1:17" x14ac:dyDescent="0.3">
      <c r="A51" s="6" t="s">
        <v>168</v>
      </c>
      <c r="B51" s="6">
        <v>64.513178603504542</v>
      </c>
      <c r="C51" s="6" t="s">
        <v>5</v>
      </c>
      <c r="D51" s="6">
        <f t="shared" si="0"/>
        <v>8.9666666666666668</v>
      </c>
      <c r="E51" s="6">
        <f>IF(D51&lt;0,D51+24,D51)</f>
        <v>8.9666666666666668</v>
      </c>
      <c r="F51" s="6">
        <f t="shared" si="1"/>
        <v>0.37260677466863035</v>
      </c>
      <c r="G51" s="6">
        <f t="shared" si="2"/>
        <v>0.47594860980604931</v>
      </c>
      <c r="H51" s="6" t="e">
        <f>IF($H$2=C51,B51,NA())</f>
        <v>#N/A</v>
      </c>
      <c r="I51" s="6">
        <f>IF($I$2=C51,B51,NA())</f>
        <v>64.513178603504542</v>
      </c>
      <c r="J51" s="6" t="e">
        <f>IF($J$2=C51,B51,NA())</f>
        <v>#N/A</v>
      </c>
      <c r="O51" s="9">
        <f t="shared" ca="1" si="3"/>
        <v>32</v>
      </c>
      <c r="P51" s="9">
        <f t="shared" ca="1" si="4"/>
        <v>0.37173403153764101</v>
      </c>
      <c r="Q51" s="9" t="str">
        <f>C51</f>
        <v>Class 2</v>
      </c>
    </row>
  </sheetData>
  <mergeCells count="6">
    <mergeCell ref="Y1:Z1"/>
    <mergeCell ref="A1:J1"/>
    <mergeCell ref="L1:M1"/>
    <mergeCell ref="O1:Q1"/>
    <mergeCell ref="S1:T1"/>
    <mergeCell ref="V1:W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AC880-916C-4674-92A8-2D8967DFE240}">
  <sheetPr codeName="Sheet4"/>
  <dimension ref="A1:X51"/>
  <sheetViews>
    <sheetView workbookViewId="0">
      <selection activeCell="B9" sqref="B9"/>
    </sheetView>
  </sheetViews>
  <sheetFormatPr defaultRowHeight="14.4" x14ac:dyDescent="0.3"/>
  <cols>
    <col min="3" max="3" width="12.44140625" bestFit="1" customWidth="1"/>
    <col min="9" max="9" width="2.88671875" style="1" customWidth="1"/>
    <col min="12" max="12" width="3.44140625" style="1" customWidth="1"/>
    <col min="16" max="16" width="3.6640625" style="1" customWidth="1"/>
    <col min="19" max="19" width="3.33203125" style="1" customWidth="1"/>
    <col min="22" max="22" width="4.21875" style="1" customWidth="1"/>
  </cols>
  <sheetData>
    <row r="1" spans="1:24" s="3" customFormat="1" x14ac:dyDescent="0.3">
      <c r="A1" s="24"/>
      <c r="B1" s="24"/>
      <c r="C1" s="24"/>
      <c r="D1" s="24"/>
      <c r="E1" s="24"/>
      <c r="F1" s="24"/>
      <c r="G1" s="24"/>
      <c r="H1" s="24"/>
      <c r="I1" s="2"/>
      <c r="J1" s="24" t="s">
        <v>58</v>
      </c>
      <c r="K1" s="24"/>
      <c r="L1" s="2"/>
      <c r="M1" s="24" t="s">
        <v>119</v>
      </c>
      <c r="N1" s="24"/>
      <c r="O1" s="24"/>
      <c r="P1" s="2"/>
      <c r="Q1" s="24" t="s">
        <v>62</v>
      </c>
      <c r="R1" s="24"/>
      <c r="S1" s="2"/>
      <c r="T1" s="24" t="s">
        <v>65</v>
      </c>
      <c r="U1" s="24"/>
      <c r="V1" s="2" t="s">
        <v>68</v>
      </c>
      <c r="W1" s="24" t="s">
        <v>67</v>
      </c>
      <c r="X1" s="24"/>
    </row>
    <row r="2" spans="1:24" s="4" customFormat="1" x14ac:dyDescent="0.3">
      <c r="A2" s="5" t="s">
        <v>1</v>
      </c>
      <c r="B2" s="5" t="s">
        <v>2</v>
      </c>
      <c r="C2" s="5" t="s">
        <v>3</v>
      </c>
      <c r="D2" s="5"/>
      <c r="E2" s="5" t="s">
        <v>57</v>
      </c>
      <c r="F2" s="5" t="s">
        <v>12</v>
      </c>
      <c r="G2" s="5" t="s">
        <v>5</v>
      </c>
      <c r="H2" s="5" t="s">
        <v>7</v>
      </c>
      <c r="I2" s="2"/>
      <c r="J2" s="11"/>
      <c r="K2" s="11"/>
      <c r="L2" s="2"/>
      <c r="M2" s="5" t="s">
        <v>59</v>
      </c>
      <c r="N2" s="5" t="s">
        <v>60</v>
      </c>
      <c r="O2" s="5" t="s">
        <v>61</v>
      </c>
      <c r="P2" s="2"/>
      <c r="Q2" s="5" t="s">
        <v>63</v>
      </c>
      <c r="R2" s="5" t="s">
        <v>61</v>
      </c>
      <c r="S2" s="2"/>
      <c r="T2" s="5" t="s">
        <v>66</v>
      </c>
      <c r="U2" s="5" t="s">
        <v>61</v>
      </c>
      <c r="V2" s="2"/>
      <c r="W2" s="5" t="s">
        <v>66</v>
      </c>
      <c r="X2" s="5" t="s">
        <v>61</v>
      </c>
    </row>
    <row r="3" spans="1:24" x14ac:dyDescent="0.3">
      <c r="A3" s="6"/>
      <c r="B3" s="6">
        <v>54.77616010285201</v>
      </c>
      <c r="C3" s="6" t="s">
        <v>5</v>
      </c>
      <c r="D3" s="6">
        <f>HOUR(A3)+MINUTE(A3)/60 - 6</f>
        <v>-6</v>
      </c>
      <c r="E3" s="6">
        <f>IF(D3&lt;0,D3+24,D3)</f>
        <v>18</v>
      </c>
      <c r="F3" s="6" t="e">
        <f>IF($F$2=C3,B3,NA())</f>
        <v>#N/A</v>
      </c>
      <c r="G3" s="6">
        <f>IF($G$2=C3,B3,NA())</f>
        <v>54.77616010285201</v>
      </c>
      <c r="H3" s="6" t="e">
        <f>IF($H$2=C3,B3,NA())</f>
        <v>#N/A</v>
      </c>
      <c r="J3" s="8" t="s">
        <v>1</v>
      </c>
      <c r="K3" s="13">
        <v>0.75347222222222221</v>
      </c>
      <c r="M3" s="9">
        <f>RANK(N3,$N$3:$N$51)</f>
        <v>47</v>
      </c>
      <c r="N3" s="9">
        <f>SQRT(($K$4-B3)^2+($K$7-E3)^2)</f>
        <v>5.9208993188534862</v>
      </c>
      <c r="O3" s="9" t="str">
        <f>C3</f>
        <v>Class 2</v>
      </c>
      <c r="Q3" s="10">
        <v>1</v>
      </c>
      <c r="R3" s="10" t="str">
        <f>VLOOKUP(Q3,$M$3:$O$51,3,FALSE)</f>
        <v>Class 3</v>
      </c>
      <c r="T3" s="10">
        <v>1</v>
      </c>
      <c r="U3" s="10" t="str">
        <f>VLOOKUP(T3,$M$3:$O$51,3,FALSE)</f>
        <v>Class 3</v>
      </c>
      <c r="W3" s="10">
        <v>1</v>
      </c>
      <c r="X3" s="10" t="str">
        <f>VLOOKUP(W3,$M$3:$O$51,3,FALSE)</f>
        <v>Class 3</v>
      </c>
    </row>
    <row r="4" spans="1:24" x14ac:dyDescent="0.3">
      <c r="A4" s="6" t="s">
        <v>121</v>
      </c>
      <c r="B4" s="6">
        <v>51.560079521663212</v>
      </c>
      <c r="C4" s="6" t="s">
        <v>5</v>
      </c>
      <c r="D4" s="6">
        <f t="shared" ref="D4:D51" si="0">HOUR(A4)+MINUTE(A4)/60 - 6</f>
        <v>7.4166666666666661</v>
      </c>
      <c r="E4" s="6">
        <f t="shared" ref="E4:E51" si="1">IF(D4&lt;0,D4+24,D4)</f>
        <v>7.4166666666666661</v>
      </c>
      <c r="F4" s="6" t="e">
        <f t="shared" ref="F4:F51" si="2">IF($F$2=C4,B4,NA())</f>
        <v>#N/A</v>
      </c>
      <c r="G4" s="6">
        <f t="shared" ref="G4:G51" si="3">IF($G$2=C4,B4,NA())</f>
        <v>51.560079521663212</v>
      </c>
      <c r="H4" s="6" t="e">
        <f t="shared" ref="H4:H51" si="4">IF($H$2=C4,B4,NA())</f>
        <v>#N/A</v>
      </c>
      <c r="J4" s="8" t="s">
        <v>2</v>
      </c>
      <c r="K4" s="7">
        <v>55</v>
      </c>
      <c r="M4" s="9">
        <f t="shared" ref="M4:M51" si="5">RANK(N4,$N$3:$N$51)</f>
        <v>48</v>
      </c>
      <c r="N4" s="9">
        <f t="shared" ref="N4:N51" si="6">SQRT(($K$4-B4)^2+($K$7-E4)^2)</f>
        <v>5.7974848576825595</v>
      </c>
      <c r="O4" s="9" t="str">
        <f t="shared" ref="O4:O51" si="7">C4</f>
        <v>Class 2</v>
      </c>
      <c r="Q4" s="10">
        <v>2</v>
      </c>
      <c r="R4" s="10" t="str">
        <f t="shared" ref="R4:R5" si="8">VLOOKUP(Q4,$M$3:$O$51,3,FALSE)</f>
        <v>Class 3</v>
      </c>
      <c r="T4" s="10">
        <v>2</v>
      </c>
      <c r="U4" s="10" t="str">
        <f t="shared" ref="U4:U7" si="9">VLOOKUP(T4,$M$3:$O$51,3,FALSE)</f>
        <v>Class 3</v>
      </c>
      <c r="W4" s="10">
        <v>2</v>
      </c>
      <c r="X4" s="10" t="str">
        <f t="shared" ref="X4:X9" si="10">VLOOKUP(W4,$M$3:$O$51,3,FALSE)</f>
        <v>Class 3</v>
      </c>
    </row>
    <row r="5" spans="1:24" x14ac:dyDescent="0.3">
      <c r="A5" s="6" t="s">
        <v>122</v>
      </c>
      <c r="B5" s="6">
        <v>67.931271493713439</v>
      </c>
      <c r="C5" s="6" t="s">
        <v>7</v>
      </c>
      <c r="D5" s="6">
        <f t="shared" si="0"/>
        <v>-2.7333333333333334</v>
      </c>
      <c r="E5" s="6">
        <f t="shared" si="1"/>
        <v>21.266666666666666</v>
      </c>
      <c r="F5" s="6" t="e">
        <f t="shared" si="2"/>
        <v>#N/A</v>
      </c>
      <c r="G5" s="6" t="e">
        <f t="shared" si="3"/>
        <v>#N/A</v>
      </c>
      <c r="H5" s="6">
        <f t="shared" si="4"/>
        <v>67.931271493713439</v>
      </c>
      <c r="M5" s="9">
        <f t="shared" si="5"/>
        <v>20</v>
      </c>
      <c r="N5" s="9">
        <f t="shared" si="6"/>
        <v>15.860371797509568</v>
      </c>
      <c r="O5" s="9" t="str">
        <f t="shared" si="7"/>
        <v>Class 3</v>
      </c>
      <c r="Q5" s="10">
        <v>3</v>
      </c>
      <c r="R5" s="10" t="str">
        <f t="shared" si="8"/>
        <v>Class 3</v>
      </c>
      <c r="T5" s="10">
        <v>3</v>
      </c>
      <c r="U5" s="10" t="str">
        <f t="shared" si="9"/>
        <v>Class 3</v>
      </c>
      <c r="W5" s="10">
        <v>3</v>
      </c>
      <c r="X5" s="10" t="str">
        <f t="shared" si="10"/>
        <v>Class 3</v>
      </c>
    </row>
    <row r="6" spans="1:24" x14ac:dyDescent="0.3">
      <c r="A6" s="6" t="s">
        <v>123</v>
      </c>
      <c r="B6" s="6">
        <v>85.462045214093123</v>
      </c>
      <c r="C6" s="6" t="s">
        <v>7</v>
      </c>
      <c r="D6" s="6">
        <f t="shared" si="0"/>
        <v>8.4666666666666668</v>
      </c>
      <c r="E6" s="6">
        <f t="shared" si="1"/>
        <v>8.4666666666666668</v>
      </c>
      <c r="F6" s="6" t="e">
        <f t="shared" si="2"/>
        <v>#N/A</v>
      </c>
      <c r="G6" s="6" t="e">
        <f t="shared" si="3"/>
        <v>#N/A</v>
      </c>
      <c r="H6" s="6">
        <f t="shared" si="4"/>
        <v>85.462045214093123</v>
      </c>
      <c r="J6" s="8" t="s">
        <v>56</v>
      </c>
      <c r="K6" s="7">
        <f>HOUR(K3)+MINUTE(K3)/60 - 6</f>
        <v>12.083333333333332</v>
      </c>
      <c r="M6" s="9">
        <f t="shared" si="5"/>
        <v>3</v>
      </c>
      <c r="N6" s="9">
        <f t="shared" si="6"/>
        <v>30.675991856877776</v>
      </c>
      <c r="O6" s="9" t="str">
        <f t="shared" si="7"/>
        <v>Class 3</v>
      </c>
      <c r="T6" s="10">
        <v>4</v>
      </c>
      <c r="U6" s="10" t="str">
        <f t="shared" si="9"/>
        <v>Class 3</v>
      </c>
      <c r="W6" s="10">
        <v>4</v>
      </c>
      <c r="X6" s="10" t="str">
        <f t="shared" si="10"/>
        <v>Class 3</v>
      </c>
    </row>
    <row r="7" spans="1:24" x14ac:dyDescent="0.3">
      <c r="A7" s="6" t="s">
        <v>124</v>
      </c>
      <c r="B7" s="6">
        <v>41.790424512821858</v>
      </c>
      <c r="C7" s="6" t="s">
        <v>5</v>
      </c>
      <c r="D7" s="6">
        <f t="shared" si="0"/>
        <v>5.5333333333333332</v>
      </c>
      <c r="E7" s="6">
        <f t="shared" si="1"/>
        <v>5.5333333333333332</v>
      </c>
      <c r="F7" s="6" t="e">
        <f t="shared" si="2"/>
        <v>#N/A</v>
      </c>
      <c r="G7" s="6">
        <f t="shared" si="3"/>
        <v>41.790424512821858</v>
      </c>
      <c r="H7" s="6" t="e">
        <f t="shared" si="4"/>
        <v>#N/A</v>
      </c>
      <c r="J7" s="8" t="s">
        <v>57</v>
      </c>
      <c r="K7" s="7">
        <f>IF(K6&lt;0,K6+24,K6)</f>
        <v>12.083333333333332</v>
      </c>
      <c r="M7" s="9">
        <f t="shared" si="5"/>
        <v>23</v>
      </c>
      <c r="N7" s="9">
        <f t="shared" si="6"/>
        <v>14.74433398127761</v>
      </c>
      <c r="O7" s="9" t="str">
        <f t="shared" si="7"/>
        <v>Class 2</v>
      </c>
      <c r="T7" s="10">
        <v>5</v>
      </c>
      <c r="U7" s="10" t="str">
        <f t="shared" si="9"/>
        <v>Class 3</v>
      </c>
      <c r="W7" s="10">
        <v>5</v>
      </c>
      <c r="X7" s="10" t="str">
        <f t="shared" si="10"/>
        <v>Class 3</v>
      </c>
    </row>
    <row r="8" spans="1:24" x14ac:dyDescent="0.3">
      <c r="A8" s="6" t="s">
        <v>125</v>
      </c>
      <c r="B8" s="6">
        <v>46.902521484649938</v>
      </c>
      <c r="C8" s="6" t="s">
        <v>5</v>
      </c>
      <c r="D8" s="6">
        <f t="shared" si="0"/>
        <v>-5.05</v>
      </c>
      <c r="E8" s="6">
        <f t="shared" si="1"/>
        <v>18.95</v>
      </c>
      <c r="F8" s="6" t="e">
        <f t="shared" si="2"/>
        <v>#N/A</v>
      </c>
      <c r="G8" s="6">
        <f t="shared" si="3"/>
        <v>46.902521484649938</v>
      </c>
      <c r="H8" s="6" t="e">
        <f t="shared" si="4"/>
        <v>#N/A</v>
      </c>
      <c r="M8" s="9">
        <f t="shared" si="5"/>
        <v>38</v>
      </c>
      <c r="N8" s="9">
        <f t="shared" si="6"/>
        <v>10.616980240052582</v>
      </c>
      <c r="O8" s="9" t="str">
        <f t="shared" si="7"/>
        <v>Class 2</v>
      </c>
      <c r="W8" s="10">
        <v>6</v>
      </c>
      <c r="X8" s="10" t="str">
        <f t="shared" si="10"/>
        <v>Class 3</v>
      </c>
    </row>
    <row r="9" spans="1:24" x14ac:dyDescent="0.3">
      <c r="A9" s="6" t="s">
        <v>126</v>
      </c>
      <c r="B9" s="6">
        <v>66.708835294130452</v>
      </c>
      <c r="C9" s="6" t="s">
        <v>5</v>
      </c>
      <c r="D9" s="6">
        <f t="shared" si="0"/>
        <v>15.350000000000001</v>
      </c>
      <c r="E9" s="6">
        <f t="shared" si="1"/>
        <v>15.350000000000001</v>
      </c>
      <c r="F9" s="6" t="e">
        <f t="shared" si="2"/>
        <v>#N/A</v>
      </c>
      <c r="G9" s="6">
        <f t="shared" si="3"/>
        <v>66.708835294130452</v>
      </c>
      <c r="H9" s="6" t="e">
        <f t="shared" si="4"/>
        <v>#N/A</v>
      </c>
      <c r="M9" s="9">
        <f t="shared" si="5"/>
        <v>29</v>
      </c>
      <c r="N9" s="9">
        <f t="shared" si="6"/>
        <v>12.155983508387385</v>
      </c>
      <c r="O9" s="9" t="str">
        <f t="shared" si="7"/>
        <v>Class 2</v>
      </c>
      <c r="W9" s="10">
        <v>7</v>
      </c>
      <c r="X9" s="10" t="str">
        <f t="shared" si="10"/>
        <v>Class 3</v>
      </c>
    </row>
    <row r="10" spans="1:24" x14ac:dyDescent="0.3">
      <c r="A10" s="6" t="s">
        <v>127</v>
      </c>
      <c r="B10" s="6">
        <v>66.116732901411481</v>
      </c>
      <c r="C10" s="6" t="s">
        <v>7</v>
      </c>
      <c r="D10" s="6">
        <f t="shared" si="0"/>
        <v>-3.1333333333333333</v>
      </c>
      <c r="E10" s="6">
        <f t="shared" si="1"/>
        <v>20.866666666666667</v>
      </c>
      <c r="F10" s="6" t="e">
        <f t="shared" si="2"/>
        <v>#N/A</v>
      </c>
      <c r="G10" s="6" t="e">
        <f t="shared" si="3"/>
        <v>#N/A</v>
      </c>
      <c r="H10" s="6">
        <f t="shared" si="4"/>
        <v>66.116732901411481</v>
      </c>
      <c r="M10" s="9">
        <f t="shared" si="5"/>
        <v>24</v>
      </c>
      <c r="N10" s="9">
        <f t="shared" si="6"/>
        <v>14.167875452789984</v>
      </c>
      <c r="O10" s="9" t="str">
        <f t="shared" si="7"/>
        <v>Class 3</v>
      </c>
    </row>
    <row r="11" spans="1:24" x14ac:dyDescent="0.3">
      <c r="A11" s="6" t="s">
        <v>128</v>
      </c>
      <c r="B11" s="6">
        <v>53.838166595999638</v>
      </c>
      <c r="C11" s="6" t="s">
        <v>5</v>
      </c>
      <c r="D11" s="6">
        <f t="shared" si="0"/>
        <v>-5.5</v>
      </c>
      <c r="E11" s="6">
        <f t="shared" si="1"/>
        <v>18.5</v>
      </c>
      <c r="F11" s="6" t="e">
        <f t="shared" si="2"/>
        <v>#N/A</v>
      </c>
      <c r="G11" s="6">
        <f t="shared" si="3"/>
        <v>53.838166595999638</v>
      </c>
      <c r="H11" s="6" t="e">
        <f t="shared" si="4"/>
        <v>#N/A</v>
      </c>
      <c r="M11" s="9">
        <f t="shared" si="5"/>
        <v>44</v>
      </c>
      <c r="N11" s="9">
        <f t="shared" si="6"/>
        <v>6.5210020679158038</v>
      </c>
      <c r="O11" s="9" t="str">
        <f t="shared" si="7"/>
        <v>Class 2</v>
      </c>
      <c r="Q11" s="8" t="s">
        <v>64</v>
      </c>
      <c r="R11" s="8" t="str">
        <f>INDEX(R3:R5,MODE(MATCH(R3:R5,R3:R5,0)))</f>
        <v>Class 3</v>
      </c>
      <c r="S11" s="2"/>
      <c r="T11" s="8" t="s">
        <v>64</v>
      </c>
      <c r="U11" s="8" t="str">
        <f>INDEX(U3:U7,MODE(MATCH(U3:U7,U3:U7,0)))</f>
        <v>Class 3</v>
      </c>
      <c r="V11" s="2"/>
      <c r="W11" s="8" t="s">
        <v>64</v>
      </c>
      <c r="X11" s="8" t="str">
        <f>INDEX(X3:X9,MODE(MATCH(X3:X9,X3:X9,0)))</f>
        <v>Class 3</v>
      </c>
    </row>
    <row r="12" spans="1:24" x14ac:dyDescent="0.3">
      <c r="A12" s="6" t="s">
        <v>129</v>
      </c>
      <c r="B12" s="6">
        <v>76.102101171174311</v>
      </c>
      <c r="C12" s="6" t="s">
        <v>7</v>
      </c>
      <c r="D12" s="6">
        <f t="shared" si="0"/>
        <v>-5.166666666666667</v>
      </c>
      <c r="E12" s="6">
        <f t="shared" si="1"/>
        <v>18.833333333333332</v>
      </c>
      <c r="F12" s="6" t="e">
        <f t="shared" si="2"/>
        <v>#N/A</v>
      </c>
      <c r="G12" s="6" t="e">
        <f t="shared" si="3"/>
        <v>#N/A</v>
      </c>
      <c r="H12" s="6">
        <f t="shared" si="4"/>
        <v>76.102101171174311</v>
      </c>
      <c r="M12" s="9">
        <f t="shared" si="5"/>
        <v>8</v>
      </c>
      <c r="N12" s="9">
        <f t="shared" si="6"/>
        <v>22.155387016219695</v>
      </c>
      <c r="O12" s="9" t="str">
        <f t="shared" si="7"/>
        <v>Class 3</v>
      </c>
      <c r="Q12" s="8"/>
      <c r="R12" s="8" t="str">
        <f>_xlfn.IFNA(R11,R3)</f>
        <v>Class 3</v>
      </c>
      <c r="S12" s="2"/>
      <c r="T12" s="8"/>
      <c r="U12" s="8" t="str">
        <f>_xlfn.IFNA(U11,INDEX(U3:U6,MODE(MATCH(U3:U6,U3:U6,0))))</f>
        <v>Class 3</v>
      </c>
      <c r="V12" s="2"/>
      <c r="W12" s="8"/>
      <c r="X12" s="8" t="str">
        <f>_xlfn.IFNA(X11,INDEX(X3:X8,MODE(MATCH(X3:X8,X3:X8,0))))</f>
        <v>Class 3</v>
      </c>
    </row>
    <row r="13" spans="1:24" x14ac:dyDescent="0.3">
      <c r="A13" s="6" t="s">
        <v>130</v>
      </c>
      <c r="B13" s="6">
        <v>72.429535962568309</v>
      </c>
      <c r="C13" s="6" t="s">
        <v>5</v>
      </c>
      <c r="D13" s="6">
        <f t="shared" si="0"/>
        <v>1.5166666666666666</v>
      </c>
      <c r="E13" s="6">
        <f t="shared" si="1"/>
        <v>1.5166666666666666</v>
      </c>
      <c r="F13" s="6" t="e">
        <f t="shared" si="2"/>
        <v>#N/A</v>
      </c>
      <c r="G13" s="6">
        <f t="shared" si="3"/>
        <v>72.429535962568309</v>
      </c>
      <c r="H13" s="6" t="e">
        <f t="shared" si="4"/>
        <v>#N/A</v>
      </c>
      <c r="M13" s="9">
        <f t="shared" si="5"/>
        <v>13</v>
      </c>
      <c r="N13" s="9">
        <f t="shared" si="6"/>
        <v>20.382423023647274</v>
      </c>
      <c r="O13" s="9" t="str">
        <f t="shared" si="7"/>
        <v>Class 2</v>
      </c>
      <c r="X13" t="s">
        <v>56</v>
      </c>
    </row>
    <row r="14" spans="1:24" x14ac:dyDescent="0.3">
      <c r="A14" s="6" t="s">
        <v>131</v>
      </c>
      <c r="B14" s="6">
        <v>76.831466954362227</v>
      </c>
      <c r="C14" s="6" t="s">
        <v>5</v>
      </c>
      <c r="D14" s="6">
        <f t="shared" si="0"/>
        <v>8.7166666666666668</v>
      </c>
      <c r="E14" s="6">
        <f t="shared" si="1"/>
        <v>8.7166666666666668</v>
      </c>
      <c r="F14" s="6" t="e">
        <f t="shared" si="2"/>
        <v>#N/A</v>
      </c>
      <c r="G14" s="6">
        <f t="shared" si="3"/>
        <v>76.831466954362227</v>
      </c>
      <c r="H14" s="6" t="e">
        <f t="shared" si="4"/>
        <v>#N/A</v>
      </c>
      <c r="M14" s="9">
        <f t="shared" si="5"/>
        <v>10</v>
      </c>
      <c r="N14" s="9">
        <f t="shared" si="6"/>
        <v>22.089531317433025</v>
      </c>
      <c r="O14" s="9" t="str">
        <f t="shared" si="7"/>
        <v>Class 2</v>
      </c>
    </row>
    <row r="15" spans="1:24" x14ac:dyDescent="0.3">
      <c r="A15" s="6" t="s">
        <v>132</v>
      </c>
      <c r="B15" s="6">
        <v>68.521677374010736</v>
      </c>
      <c r="C15" s="6" t="s">
        <v>5</v>
      </c>
      <c r="D15" s="6">
        <f t="shared" si="0"/>
        <v>12.966666666666665</v>
      </c>
      <c r="E15" s="6">
        <f t="shared" si="1"/>
        <v>12.966666666666665</v>
      </c>
      <c r="F15" s="6" t="e">
        <f t="shared" si="2"/>
        <v>#N/A</v>
      </c>
      <c r="G15" s="6">
        <f t="shared" si="3"/>
        <v>68.521677374010736</v>
      </c>
      <c r="H15" s="6" t="e">
        <f t="shared" si="4"/>
        <v>#N/A</v>
      </c>
      <c r="M15" s="9">
        <f t="shared" si="5"/>
        <v>27</v>
      </c>
      <c r="N15" s="9">
        <f t="shared" si="6"/>
        <v>13.550499503140525</v>
      </c>
      <c r="O15" s="9" t="str">
        <f t="shared" si="7"/>
        <v>Class 2</v>
      </c>
    </row>
    <row r="16" spans="1:24" x14ac:dyDescent="0.3">
      <c r="A16" s="6" t="s">
        <v>133</v>
      </c>
      <c r="B16" s="6">
        <v>48.86217897221907</v>
      </c>
      <c r="C16" s="6" t="s">
        <v>12</v>
      </c>
      <c r="D16" s="6">
        <f t="shared" si="0"/>
        <v>7.0666666666666664</v>
      </c>
      <c r="E16" s="6">
        <f t="shared" si="1"/>
        <v>7.0666666666666664</v>
      </c>
      <c r="F16" s="6">
        <f t="shared" si="2"/>
        <v>48.86217897221907</v>
      </c>
      <c r="G16" s="6" t="e">
        <f t="shared" si="3"/>
        <v>#N/A</v>
      </c>
      <c r="H16" s="6" t="e">
        <f t="shared" si="4"/>
        <v>#N/A</v>
      </c>
      <c r="M16" s="9">
        <f t="shared" si="5"/>
        <v>42</v>
      </c>
      <c r="N16" s="9">
        <f t="shared" si="6"/>
        <v>7.9271553166009179</v>
      </c>
      <c r="O16" s="9" t="str">
        <f t="shared" si="7"/>
        <v>Class 1</v>
      </c>
    </row>
    <row r="17" spans="1:15" x14ac:dyDescent="0.3">
      <c r="A17" s="6" t="s">
        <v>134</v>
      </c>
      <c r="B17" s="6">
        <v>90.856134917736441</v>
      </c>
      <c r="C17" s="6" t="s">
        <v>7</v>
      </c>
      <c r="D17" s="6">
        <f t="shared" si="0"/>
        <v>9.4666666666666668</v>
      </c>
      <c r="E17" s="6">
        <f t="shared" si="1"/>
        <v>9.4666666666666668</v>
      </c>
      <c r="F17" s="6" t="e">
        <f t="shared" si="2"/>
        <v>#N/A</v>
      </c>
      <c r="G17" s="6" t="e">
        <f t="shared" si="3"/>
        <v>#N/A</v>
      </c>
      <c r="H17" s="6">
        <f t="shared" si="4"/>
        <v>90.856134917736441</v>
      </c>
      <c r="M17" s="9">
        <f t="shared" si="5"/>
        <v>2</v>
      </c>
      <c r="N17" s="9">
        <f t="shared" si="6"/>
        <v>35.951486140121702</v>
      </c>
      <c r="O17" s="9" t="str">
        <f t="shared" si="7"/>
        <v>Class 3</v>
      </c>
    </row>
    <row r="18" spans="1:15" x14ac:dyDescent="0.3">
      <c r="A18" s="6" t="s">
        <v>135</v>
      </c>
      <c r="B18" s="6">
        <v>60.005311163199337</v>
      </c>
      <c r="C18" s="6" t="s">
        <v>5</v>
      </c>
      <c r="D18" s="6">
        <f t="shared" si="0"/>
        <v>0.68333333333333357</v>
      </c>
      <c r="E18" s="6">
        <f t="shared" si="1"/>
        <v>0.68333333333333357</v>
      </c>
      <c r="F18" s="6" t="e">
        <f t="shared" si="2"/>
        <v>#N/A</v>
      </c>
      <c r="G18" s="6">
        <f t="shared" si="3"/>
        <v>60.005311163199337</v>
      </c>
      <c r="H18" s="6" t="e">
        <f t="shared" si="4"/>
        <v>#N/A</v>
      </c>
      <c r="M18" s="9">
        <f t="shared" si="5"/>
        <v>28</v>
      </c>
      <c r="N18" s="9">
        <f t="shared" si="6"/>
        <v>12.450427295496644</v>
      </c>
      <c r="O18" s="9" t="str">
        <f t="shared" si="7"/>
        <v>Class 2</v>
      </c>
    </row>
    <row r="19" spans="1:15" x14ac:dyDescent="0.3">
      <c r="A19" s="6" t="s">
        <v>136</v>
      </c>
      <c r="B19" s="6">
        <v>53.770885371633256</v>
      </c>
      <c r="C19" s="6" t="s">
        <v>12</v>
      </c>
      <c r="D19" s="6">
        <f t="shared" si="0"/>
        <v>10.616666666666667</v>
      </c>
      <c r="E19" s="6">
        <f t="shared" si="1"/>
        <v>10.616666666666667</v>
      </c>
      <c r="F19" s="6">
        <f t="shared" si="2"/>
        <v>53.770885371633256</v>
      </c>
      <c r="G19" s="6" t="e">
        <f t="shared" si="3"/>
        <v>#N/A</v>
      </c>
      <c r="H19" s="6" t="e">
        <f t="shared" si="4"/>
        <v>#N/A</v>
      </c>
      <c r="M19" s="9">
        <f t="shared" si="5"/>
        <v>49</v>
      </c>
      <c r="N19" s="9">
        <f t="shared" si="6"/>
        <v>1.9135918793661899</v>
      </c>
      <c r="O19" s="9" t="str">
        <f t="shared" si="7"/>
        <v>Class 1</v>
      </c>
    </row>
    <row r="20" spans="1:15" x14ac:dyDescent="0.3">
      <c r="A20" s="6" t="s">
        <v>137</v>
      </c>
      <c r="B20" s="6">
        <v>64.424732716236662</v>
      </c>
      <c r="C20" s="6" t="s">
        <v>7</v>
      </c>
      <c r="D20" s="6">
        <f t="shared" si="0"/>
        <v>17.766666666666666</v>
      </c>
      <c r="E20" s="6">
        <f t="shared" si="1"/>
        <v>17.766666666666666</v>
      </c>
      <c r="F20" s="6" t="e">
        <f t="shared" si="2"/>
        <v>#N/A</v>
      </c>
      <c r="G20" s="6" t="e">
        <f t="shared" si="3"/>
        <v>#N/A</v>
      </c>
      <c r="H20" s="6">
        <f t="shared" si="4"/>
        <v>64.424732716236662</v>
      </c>
      <c r="M20" s="9">
        <f t="shared" si="5"/>
        <v>34</v>
      </c>
      <c r="N20" s="9">
        <f t="shared" si="6"/>
        <v>11.005719628914752</v>
      </c>
      <c r="O20" s="9" t="str">
        <f t="shared" si="7"/>
        <v>Class 3</v>
      </c>
    </row>
    <row r="21" spans="1:15" x14ac:dyDescent="0.3">
      <c r="A21" s="6" t="s">
        <v>138</v>
      </c>
      <c r="B21" s="6">
        <v>75.315230999546003</v>
      </c>
      <c r="C21" s="6" t="s">
        <v>7</v>
      </c>
      <c r="D21" s="6">
        <f t="shared" si="0"/>
        <v>16.95</v>
      </c>
      <c r="E21" s="6">
        <f t="shared" si="1"/>
        <v>16.95</v>
      </c>
      <c r="F21" s="6" t="e">
        <f t="shared" si="2"/>
        <v>#N/A</v>
      </c>
      <c r="G21" s="6" t="e">
        <f t="shared" si="3"/>
        <v>#N/A</v>
      </c>
      <c r="H21" s="6">
        <f t="shared" si="4"/>
        <v>75.315230999546003</v>
      </c>
      <c r="M21" s="9">
        <f t="shared" si="5"/>
        <v>12</v>
      </c>
      <c r="N21" s="9">
        <f t="shared" si="6"/>
        <v>20.890022858038222</v>
      </c>
      <c r="O21" s="9" t="str">
        <f t="shared" si="7"/>
        <v>Class 3</v>
      </c>
    </row>
    <row r="22" spans="1:15" x14ac:dyDescent="0.3">
      <c r="A22" s="6" t="s">
        <v>139</v>
      </c>
      <c r="B22" s="6">
        <v>50.519361915620593</v>
      </c>
      <c r="C22" s="6" t="s">
        <v>7</v>
      </c>
      <c r="D22" s="6">
        <f t="shared" si="0"/>
        <v>-1.25</v>
      </c>
      <c r="E22" s="6">
        <f t="shared" si="1"/>
        <v>22.75</v>
      </c>
      <c r="F22" s="6" t="e">
        <f t="shared" si="2"/>
        <v>#N/A</v>
      </c>
      <c r="G22" s="6" t="e">
        <f t="shared" si="3"/>
        <v>#N/A</v>
      </c>
      <c r="H22" s="6">
        <f t="shared" si="4"/>
        <v>50.519361915620593</v>
      </c>
      <c r="M22" s="9">
        <f t="shared" si="5"/>
        <v>32</v>
      </c>
      <c r="N22" s="9">
        <f t="shared" si="6"/>
        <v>11.569524425012853</v>
      </c>
      <c r="O22" s="9" t="str">
        <f t="shared" si="7"/>
        <v>Class 3</v>
      </c>
    </row>
    <row r="23" spans="1:15" x14ac:dyDescent="0.3">
      <c r="A23" s="6" t="s">
        <v>140</v>
      </c>
      <c r="B23" s="6">
        <v>68.732755156644473</v>
      </c>
      <c r="C23" s="6" t="s">
        <v>5</v>
      </c>
      <c r="D23" s="6">
        <f t="shared" si="0"/>
        <v>10.616666666666667</v>
      </c>
      <c r="E23" s="6">
        <f t="shared" si="1"/>
        <v>10.616666666666667</v>
      </c>
      <c r="F23" s="6" t="e">
        <f t="shared" si="2"/>
        <v>#N/A</v>
      </c>
      <c r="G23" s="6">
        <f t="shared" si="3"/>
        <v>68.732755156644473</v>
      </c>
      <c r="H23" s="6" t="e">
        <f t="shared" si="4"/>
        <v>#N/A</v>
      </c>
      <c r="M23" s="9">
        <f t="shared" si="5"/>
        <v>26</v>
      </c>
      <c r="N23" s="9">
        <f t="shared" si="6"/>
        <v>13.810853532763877</v>
      </c>
      <c r="O23" s="9" t="str">
        <f t="shared" si="7"/>
        <v>Class 2</v>
      </c>
    </row>
    <row r="24" spans="1:15" x14ac:dyDescent="0.3">
      <c r="A24" s="6" t="s">
        <v>141</v>
      </c>
      <c r="B24" s="6">
        <v>46.713295235477396</v>
      </c>
      <c r="C24" s="6" t="s">
        <v>12</v>
      </c>
      <c r="D24" s="6">
        <f t="shared" si="0"/>
        <v>5.7833333333333332</v>
      </c>
      <c r="E24" s="6">
        <f t="shared" si="1"/>
        <v>5.7833333333333332</v>
      </c>
      <c r="F24" s="6">
        <f t="shared" si="2"/>
        <v>46.713295235477396</v>
      </c>
      <c r="G24" s="6" t="e">
        <f t="shared" si="3"/>
        <v>#N/A</v>
      </c>
      <c r="H24" s="6" t="e">
        <f t="shared" si="4"/>
        <v>#N/A</v>
      </c>
      <c r="M24" s="9">
        <f t="shared" si="5"/>
        <v>39</v>
      </c>
      <c r="N24" s="9">
        <f t="shared" si="6"/>
        <v>10.409585767664417</v>
      </c>
      <c r="O24" s="9" t="str">
        <f t="shared" si="7"/>
        <v>Class 1</v>
      </c>
    </row>
    <row r="25" spans="1:15" x14ac:dyDescent="0.3">
      <c r="A25" s="6" t="s">
        <v>142</v>
      </c>
      <c r="B25" s="6">
        <v>65.634928931713745</v>
      </c>
      <c r="C25" s="6" t="s">
        <v>5</v>
      </c>
      <c r="D25" s="6">
        <f t="shared" si="0"/>
        <v>10.616666666666667</v>
      </c>
      <c r="E25" s="6">
        <f t="shared" si="1"/>
        <v>10.616666666666667</v>
      </c>
      <c r="F25" s="6" t="e">
        <f t="shared" si="2"/>
        <v>#N/A</v>
      </c>
      <c r="G25" s="6">
        <f t="shared" si="3"/>
        <v>65.634928931713745</v>
      </c>
      <c r="H25" s="6" t="e">
        <f t="shared" si="4"/>
        <v>#N/A</v>
      </c>
      <c r="M25" s="9">
        <f t="shared" si="5"/>
        <v>37</v>
      </c>
      <c r="N25" s="9">
        <f t="shared" si="6"/>
        <v>10.73558682577311</v>
      </c>
      <c r="O25" s="9" t="str">
        <f t="shared" si="7"/>
        <v>Class 2</v>
      </c>
    </row>
    <row r="26" spans="1:15" x14ac:dyDescent="0.3">
      <c r="A26" s="6" t="s">
        <v>143</v>
      </c>
      <c r="B26" s="6">
        <v>64.921799578895033</v>
      </c>
      <c r="C26" s="6" t="s">
        <v>7</v>
      </c>
      <c r="D26" s="6">
        <f t="shared" si="0"/>
        <v>-5.5</v>
      </c>
      <c r="E26" s="6">
        <f t="shared" si="1"/>
        <v>18.5</v>
      </c>
      <c r="F26" s="6" t="e">
        <f t="shared" si="2"/>
        <v>#N/A</v>
      </c>
      <c r="G26" s="6" t="e">
        <f t="shared" si="3"/>
        <v>#N/A</v>
      </c>
      <c r="H26" s="6">
        <f t="shared" si="4"/>
        <v>64.921799578895033</v>
      </c>
      <c r="M26" s="9">
        <f t="shared" si="5"/>
        <v>30</v>
      </c>
      <c r="N26" s="9">
        <f t="shared" si="6"/>
        <v>11.815909528888277</v>
      </c>
      <c r="O26" s="9" t="str">
        <f t="shared" si="7"/>
        <v>Class 3</v>
      </c>
    </row>
    <row r="27" spans="1:15" x14ac:dyDescent="0.3">
      <c r="A27" s="6" t="s">
        <v>144</v>
      </c>
      <c r="B27" s="6">
        <v>83.8522090105904</v>
      </c>
      <c r="C27" s="6" t="s">
        <v>7</v>
      </c>
      <c r="D27" s="6">
        <f t="shared" si="0"/>
        <v>-4.75</v>
      </c>
      <c r="E27" s="6">
        <f t="shared" si="1"/>
        <v>19.25</v>
      </c>
      <c r="F27" s="6" t="e">
        <f t="shared" si="2"/>
        <v>#N/A</v>
      </c>
      <c r="G27" s="6" t="e">
        <f t="shared" si="3"/>
        <v>#N/A</v>
      </c>
      <c r="H27" s="6">
        <f t="shared" si="4"/>
        <v>83.8522090105904</v>
      </c>
      <c r="M27" s="9">
        <f t="shared" si="5"/>
        <v>5</v>
      </c>
      <c r="N27" s="9">
        <f t="shared" si="6"/>
        <v>29.728960222347247</v>
      </c>
      <c r="O27" s="9" t="str">
        <f t="shared" si="7"/>
        <v>Class 3</v>
      </c>
    </row>
    <row r="28" spans="1:15" x14ac:dyDescent="0.3">
      <c r="A28" s="6" t="s">
        <v>145</v>
      </c>
      <c r="B28" s="6">
        <v>73.398767959325028</v>
      </c>
      <c r="C28" s="6" t="s">
        <v>7</v>
      </c>
      <c r="D28" s="6">
        <f t="shared" si="0"/>
        <v>5.5833333333333339</v>
      </c>
      <c r="E28" s="6">
        <f t="shared" si="1"/>
        <v>5.5833333333333339</v>
      </c>
      <c r="F28" s="6" t="e">
        <f t="shared" si="2"/>
        <v>#N/A</v>
      </c>
      <c r="G28" s="6" t="e">
        <f t="shared" si="3"/>
        <v>#N/A</v>
      </c>
      <c r="H28" s="6">
        <f t="shared" si="4"/>
        <v>73.398767959325028</v>
      </c>
      <c r="M28" s="9">
        <f t="shared" si="5"/>
        <v>17</v>
      </c>
      <c r="N28" s="9">
        <f t="shared" si="6"/>
        <v>19.513192010050155</v>
      </c>
      <c r="O28" s="9" t="str">
        <f t="shared" si="7"/>
        <v>Class 3</v>
      </c>
    </row>
    <row r="29" spans="1:15" x14ac:dyDescent="0.3">
      <c r="A29" s="6" t="s">
        <v>146</v>
      </c>
      <c r="B29" s="6">
        <v>41.805157827674478</v>
      </c>
      <c r="C29" s="6" t="s">
        <v>5</v>
      </c>
      <c r="D29" s="6">
        <f t="shared" si="0"/>
        <v>-4.1166666666666671</v>
      </c>
      <c r="E29" s="6">
        <f t="shared" si="1"/>
        <v>19.883333333333333</v>
      </c>
      <c r="F29" s="6" t="e">
        <f t="shared" si="2"/>
        <v>#N/A</v>
      </c>
      <c r="G29" s="6">
        <f t="shared" si="3"/>
        <v>41.805157827674478</v>
      </c>
      <c r="H29" s="6" t="e">
        <f t="shared" si="4"/>
        <v>#N/A</v>
      </c>
      <c r="M29" s="9">
        <f t="shared" si="5"/>
        <v>21</v>
      </c>
      <c r="N29" s="9">
        <f t="shared" si="6"/>
        <v>15.327878520936292</v>
      </c>
      <c r="O29" s="9" t="str">
        <f t="shared" si="7"/>
        <v>Class 2</v>
      </c>
    </row>
    <row r="30" spans="1:15" x14ac:dyDescent="0.3">
      <c r="A30" s="6" t="s">
        <v>147</v>
      </c>
      <c r="B30" s="6">
        <v>44.535928970299935</v>
      </c>
      <c r="C30" s="6" t="s">
        <v>7</v>
      </c>
      <c r="D30" s="6">
        <f t="shared" si="0"/>
        <v>-0.83333333333333304</v>
      </c>
      <c r="E30" s="6">
        <f t="shared" si="1"/>
        <v>23.166666666666668</v>
      </c>
      <c r="F30" s="6" t="e">
        <f t="shared" si="2"/>
        <v>#N/A</v>
      </c>
      <c r="G30" s="6" t="e">
        <f t="shared" si="3"/>
        <v>#N/A</v>
      </c>
      <c r="H30" s="6">
        <f t="shared" si="4"/>
        <v>44.535928970299935</v>
      </c>
      <c r="M30" s="9">
        <f t="shared" si="5"/>
        <v>22</v>
      </c>
      <c r="N30" s="9">
        <f t="shared" si="6"/>
        <v>15.242606742036809</v>
      </c>
      <c r="O30" s="9" t="str">
        <f t="shared" si="7"/>
        <v>Class 3</v>
      </c>
    </row>
    <row r="31" spans="1:15" x14ac:dyDescent="0.3">
      <c r="A31" s="6" t="s">
        <v>148</v>
      </c>
      <c r="B31" s="6">
        <v>61.06556077907404</v>
      </c>
      <c r="C31" s="6" t="s">
        <v>5</v>
      </c>
      <c r="D31" s="6">
        <f t="shared" si="0"/>
        <v>10.516666666666666</v>
      </c>
      <c r="E31" s="6">
        <f t="shared" si="1"/>
        <v>10.516666666666666</v>
      </c>
      <c r="F31" s="6" t="e">
        <f t="shared" si="2"/>
        <v>#N/A</v>
      </c>
      <c r="G31" s="6">
        <f t="shared" si="3"/>
        <v>61.06556077907404</v>
      </c>
      <c r="H31" s="6" t="e">
        <f t="shared" si="4"/>
        <v>#N/A</v>
      </c>
      <c r="M31" s="9">
        <f t="shared" si="5"/>
        <v>45</v>
      </c>
      <c r="N31" s="9">
        <f t="shared" si="6"/>
        <v>6.2646206596318121</v>
      </c>
      <c r="O31" s="9" t="str">
        <f t="shared" si="7"/>
        <v>Class 2</v>
      </c>
    </row>
    <row r="32" spans="1:15" x14ac:dyDescent="0.3">
      <c r="A32" s="6" t="s">
        <v>149</v>
      </c>
      <c r="B32" s="6">
        <v>57.326709896337945</v>
      </c>
      <c r="C32" s="6" t="s">
        <v>7</v>
      </c>
      <c r="D32" s="6">
        <f t="shared" si="0"/>
        <v>17.733333333333334</v>
      </c>
      <c r="E32" s="6">
        <f t="shared" si="1"/>
        <v>17.733333333333334</v>
      </c>
      <c r="F32" s="6" t="e">
        <f t="shared" si="2"/>
        <v>#N/A</v>
      </c>
      <c r="G32" s="6" t="e">
        <f t="shared" si="3"/>
        <v>#N/A</v>
      </c>
      <c r="H32" s="6">
        <f t="shared" si="4"/>
        <v>57.326709896337945</v>
      </c>
      <c r="M32" s="9">
        <f t="shared" si="5"/>
        <v>46</v>
      </c>
      <c r="N32" s="9">
        <f t="shared" si="6"/>
        <v>6.1103256003028967</v>
      </c>
      <c r="O32" s="9" t="str">
        <f t="shared" si="7"/>
        <v>Class 3</v>
      </c>
    </row>
    <row r="33" spans="1:15" x14ac:dyDescent="0.3">
      <c r="A33" s="6" t="s">
        <v>150</v>
      </c>
      <c r="B33" s="6">
        <v>64.007326753626714</v>
      </c>
      <c r="C33" s="6" t="s">
        <v>5</v>
      </c>
      <c r="D33" s="6">
        <f t="shared" si="0"/>
        <v>5.5833333333333339</v>
      </c>
      <c r="E33" s="6">
        <f t="shared" si="1"/>
        <v>5.5833333333333339</v>
      </c>
      <c r="F33" s="6" t="e">
        <f t="shared" si="2"/>
        <v>#N/A</v>
      </c>
      <c r="G33" s="6">
        <f t="shared" si="3"/>
        <v>64.007326753626714</v>
      </c>
      <c r="H33" s="6" t="e">
        <f t="shared" si="4"/>
        <v>#N/A</v>
      </c>
      <c r="M33" s="9">
        <f t="shared" si="5"/>
        <v>33</v>
      </c>
      <c r="N33" s="9">
        <f t="shared" si="6"/>
        <v>11.10774213090129</v>
      </c>
      <c r="O33" s="9" t="str">
        <f t="shared" si="7"/>
        <v>Class 2</v>
      </c>
    </row>
    <row r="34" spans="1:15" x14ac:dyDescent="0.3">
      <c r="A34" s="6" t="s">
        <v>151</v>
      </c>
      <c r="B34" s="6">
        <v>95.24266360544533</v>
      </c>
      <c r="C34" s="6" t="s">
        <v>7</v>
      </c>
      <c r="D34" s="6">
        <f t="shared" si="0"/>
        <v>-0.86666666666666625</v>
      </c>
      <c r="E34" s="6">
        <f t="shared" si="1"/>
        <v>23.133333333333333</v>
      </c>
      <c r="F34" s="6" t="e">
        <f t="shared" si="2"/>
        <v>#N/A</v>
      </c>
      <c r="G34" s="6" t="e">
        <f t="shared" si="3"/>
        <v>#N/A</v>
      </c>
      <c r="H34" s="6">
        <f t="shared" si="4"/>
        <v>95.24266360544533</v>
      </c>
      <c r="M34" s="9">
        <f t="shared" si="5"/>
        <v>1</v>
      </c>
      <c r="N34" s="9">
        <f t="shared" si="6"/>
        <v>41.732175525139283</v>
      </c>
      <c r="O34" s="9" t="str">
        <f t="shared" si="7"/>
        <v>Class 3</v>
      </c>
    </row>
    <row r="35" spans="1:15" x14ac:dyDescent="0.3">
      <c r="A35" s="6" t="s">
        <v>152</v>
      </c>
      <c r="B35" s="6">
        <v>63.98239788049333</v>
      </c>
      <c r="C35" s="6" t="s">
        <v>7</v>
      </c>
      <c r="D35" s="6">
        <f t="shared" si="0"/>
        <v>17.983333333333334</v>
      </c>
      <c r="E35" s="6">
        <f t="shared" si="1"/>
        <v>17.983333333333334</v>
      </c>
      <c r="F35" s="6" t="e">
        <f t="shared" si="2"/>
        <v>#N/A</v>
      </c>
      <c r="G35" s="6" t="e">
        <f t="shared" si="3"/>
        <v>#N/A</v>
      </c>
      <c r="H35" s="6">
        <f t="shared" si="4"/>
        <v>63.98239788049333</v>
      </c>
      <c r="M35" s="9">
        <f t="shared" si="5"/>
        <v>36</v>
      </c>
      <c r="N35" s="9">
        <f t="shared" si="6"/>
        <v>10.746788901038817</v>
      </c>
      <c r="O35" s="9" t="str">
        <f t="shared" si="7"/>
        <v>Class 3</v>
      </c>
    </row>
    <row r="36" spans="1:15" x14ac:dyDescent="0.3">
      <c r="A36" s="6" t="s">
        <v>153</v>
      </c>
      <c r="B36" s="6">
        <v>77.763649390767725</v>
      </c>
      <c r="C36" s="6" t="s">
        <v>7</v>
      </c>
      <c r="D36" s="6">
        <f t="shared" si="0"/>
        <v>1.0666666666666664</v>
      </c>
      <c r="E36" s="6">
        <f t="shared" si="1"/>
        <v>1.0666666666666664</v>
      </c>
      <c r="F36" s="6" t="e">
        <f t="shared" si="2"/>
        <v>#N/A</v>
      </c>
      <c r="G36" s="6" t="e">
        <f t="shared" si="3"/>
        <v>#N/A</v>
      </c>
      <c r="H36" s="6">
        <f t="shared" si="4"/>
        <v>77.763649390767725</v>
      </c>
      <c r="M36" s="9">
        <f t="shared" si="5"/>
        <v>6</v>
      </c>
      <c r="N36" s="9">
        <f t="shared" si="6"/>
        <v>25.289339216955518</v>
      </c>
      <c r="O36" s="9" t="str">
        <f t="shared" si="7"/>
        <v>Class 3</v>
      </c>
    </row>
    <row r="37" spans="1:15" x14ac:dyDescent="0.3">
      <c r="A37" s="6" t="s">
        <v>154</v>
      </c>
      <c r="B37" s="6">
        <v>75.211694586381441</v>
      </c>
      <c r="C37" s="6" t="s">
        <v>7</v>
      </c>
      <c r="D37" s="6">
        <f t="shared" si="0"/>
        <v>6.1833333333333336</v>
      </c>
      <c r="E37" s="6">
        <f t="shared" si="1"/>
        <v>6.1833333333333336</v>
      </c>
      <c r="F37" s="6" t="e">
        <f t="shared" si="2"/>
        <v>#N/A</v>
      </c>
      <c r="G37" s="6" t="e">
        <f t="shared" si="3"/>
        <v>#N/A</v>
      </c>
      <c r="H37" s="6">
        <f t="shared" si="4"/>
        <v>75.211694586381441</v>
      </c>
      <c r="M37" s="9">
        <f t="shared" si="5"/>
        <v>11</v>
      </c>
      <c r="N37" s="9">
        <f t="shared" si="6"/>
        <v>21.055227333210176</v>
      </c>
      <c r="O37" s="9" t="str">
        <f t="shared" si="7"/>
        <v>Class 3</v>
      </c>
    </row>
    <row r="38" spans="1:15" x14ac:dyDescent="0.3">
      <c r="A38" s="6" t="s">
        <v>155</v>
      </c>
      <c r="B38" s="6">
        <v>47.234485744899743</v>
      </c>
      <c r="C38" s="6" t="s">
        <v>12</v>
      </c>
      <c r="D38" s="6">
        <f t="shared" si="0"/>
        <v>3.4000000000000004</v>
      </c>
      <c r="E38" s="6">
        <f t="shared" si="1"/>
        <v>3.4000000000000004</v>
      </c>
      <c r="F38" s="6">
        <f t="shared" si="2"/>
        <v>47.234485744899743</v>
      </c>
      <c r="G38" s="6" t="e">
        <f t="shared" si="3"/>
        <v>#N/A</v>
      </c>
      <c r="H38" s="6" t="e">
        <f t="shared" si="4"/>
        <v>#N/A</v>
      </c>
      <c r="M38" s="9">
        <f t="shared" si="5"/>
        <v>31</v>
      </c>
      <c r="N38" s="9">
        <f t="shared" si="6"/>
        <v>11.649184066875373</v>
      </c>
      <c r="O38" s="9" t="str">
        <f t="shared" si="7"/>
        <v>Class 1</v>
      </c>
    </row>
    <row r="39" spans="1:15" x14ac:dyDescent="0.3">
      <c r="A39" s="6" t="s">
        <v>156</v>
      </c>
      <c r="B39" s="6">
        <v>65.480318129643379</v>
      </c>
      <c r="C39" s="6" t="s">
        <v>5</v>
      </c>
      <c r="D39" s="6">
        <f t="shared" si="0"/>
        <v>8.9333333333333336</v>
      </c>
      <c r="E39" s="6">
        <f t="shared" si="1"/>
        <v>8.9333333333333336</v>
      </c>
      <c r="F39" s="6" t="e">
        <f t="shared" si="2"/>
        <v>#N/A</v>
      </c>
      <c r="G39" s="6">
        <f t="shared" si="3"/>
        <v>65.480318129643379</v>
      </c>
      <c r="H39" s="6" t="e">
        <f t="shared" si="4"/>
        <v>#N/A</v>
      </c>
      <c r="M39" s="9">
        <f t="shared" si="5"/>
        <v>35</v>
      </c>
      <c r="N39" s="9">
        <f t="shared" si="6"/>
        <v>10.943471482967901</v>
      </c>
      <c r="O39" s="9" t="str">
        <f t="shared" si="7"/>
        <v>Class 2</v>
      </c>
    </row>
    <row r="40" spans="1:15" x14ac:dyDescent="0.3">
      <c r="A40" s="6" t="s">
        <v>157</v>
      </c>
      <c r="B40" s="6">
        <v>74.427852799056922</v>
      </c>
      <c r="C40" s="6" t="s">
        <v>7</v>
      </c>
      <c r="D40" s="6">
        <f t="shared" si="0"/>
        <v>13.399999999999999</v>
      </c>
      <c r="E40" s="6">
        <f t="shared" si="1"/>
        <v>13.399999999999999</v>
      </c>
      <c r="F40" s="6" t="e">
        <f t="shared" si="2"/>
        <v>#N/A</v>
      </c>
      <c r="G40" s="6" t="e">
        <f t="shared" si="3"/>
        <v>#N/A</v>
      </c>
      <c r="H40" s="6">
        <f t="shared" si="4"/>
        <v>74.427852799056922</v>
      </c>
      <c r="M40" s="9">
        <f t="shared" si="5"/>
        <v>18</v>
      </c>
      <c r="N40" s="9">
        <f t="shared" si="6"/>
        <v>19.472418326775312</v>
      </c>
      <c r="O40" s="9" t="str">
        <f t="shared" si="7"/>
        <v>Class 3</v>
      </c>
    </row>
    <row r="41" spans="1:15" x14ac:dyDescent="0.3">
      <c r="A41" s="6" t="s">
        <v>158</v>
      </c>
      <c r="B41" s="6">
        <v>71.836798860384519</v>
      </c>
      <c r="C41" s="6" t="s">
        <v>5</v>
      </c>
      <c r="D41" s="6">
        <f t="shared" si="0"/>
        <v>11.8</v>
      </c>
      <c r="E41" s="6">
        <f t="shared" si="1"/>
        <v>11.8</v>
      </c>
      <c r="F41" s="6" t="e">
        <f t="shared" si="2"/>
        <v>#N/A</v>
      </c>
      <c r="G41" s="6">
        <f t="shared" si="3"/>
        <v>71.836798860384519</v>
      </c>
      <c r="H41" s="6" t="e">
        <f t="shared" si="4"/>
        <v>#N/A</v>
      </c>
      <c r="M41" s="9">
        <f t="shared" si="5"/>
        <v>19</v>
      </c>
      <c r="N41" s="9">
        <f t="shared" si="6"/>
        <v>16.839182689276317</v>
      </c>
      <c r="O41" s="9" t="str">
        <f t="shared" si="7"/>
        <v>Class 2</v>
      </c>
    </row>
    <row r="42" spans="1:15" x14ac:dyDescent="0.3">
      <c r="A42" s="6" t="s">
        <v>159</v>
      </c>
      <c r="B42" s="6">
        <v>84.335102473215613</v>
      </c>
      <c r="C42" s="6" t="s">
        <v>7</v>
      </c>
      <c r="D42" s="6">
        <f t="shared" si="0"/>
        <v>-4.2833333333333332</v>
      </c>
      <c r="E42" s="6">
        <f t="shared" si="1"/>
        <v>19.716666666666669</v>
      </c>
      <c r="F42" s="6" t="e">
        <f t="shared" si="2"/>
        <v>#N/A</v>
      </c>
      <c r="G42" s="6" t="e">
        <f t="shared" si="3"/>
        <v>#N/A</v>
      </c>
      <c r="H42" s="6">
        <f t="shared" si="4"/>
        <v>84.335102473215613</v>
      </c>
      <c r="M42" s="9">
        <f t="shared" si="5"/>
        <v>4</v>
      </c>
      <c r="N42" s="9">
        <f t="shared" si="6"/>
        <v>30.311978076196851</v>
      </c>
      <c r="O42" s="9" t="str">
        <f t="shared" si="7"/>
        <v>Class 3</v>
      </c>
    </row>
    <row r="43" spans="1:15" x14ac:dyDescent="0.3">
      <c r="A43" s="6" t="s">
        <v>160</v>
      </c>
      <c r="B43" s="6">
        <v>36.60435908617319</v>
      </c>
      <c r="C43" s="6" t="s">
        <v>12</v>
      </c>
      <c r="D43" s="6">
        <f t="shared" si="0"/>
        <v>4.6500000000000004</v>
      </c>
      <c r="E43" s="6">
        <f t="shared" si="1"/>
        <v>4.6500000000000004</v>
      </c>
      <c r="F43" s="6">
        <f t="shared" si="2"/>
        <v>36.60435908617319</v>
      </c>
      <c r="G43" s="6" t="e">
        <f t="shared" si="3"/>
        <v>#N/A</v>
      </c>
      <c r="H43" s="6" t="e">
        <f t="shared" si="4"/>
        <v>#N/A</v>
      </c>
      <c r="M43" s="9">
        <f t="shared" si="5"/>
        <v>15</v>
      </c>
      <c r="N43" s="9">
        <f t="shared" si="6"/>
        <v>19.840716949619118</v>
      </c>
      <c r="O43" s="9" t="str">
        <f t="shared" si="7"/>
        <v>Class 1</v>
      </c>
    </row>
    <row r="44" spans="1:15" x14ac:dyDescent="0.3">
      <c r="A44" s="6" t="s">
        <v>161</v>
      </c>
      <c r="B44" s="6">
        <v>75.72347907898876</v>
      </c>
      <c r="C44" s="6" t="s">
        <v>7</v>
      </c>
      <c r="D44" s="6">
        <f t="shared" si="0"/>
        <v>4.2833333333333332</v>
      </c>
      <c r="E44" s="6">
        <f t="shared" si="1"/>
        <v>4.2833333333333332</v>
      </c>
      <c r="F44" s="6" t="e">
        <f t="shared" si="2"/>
        <v>#N/A</v>
      </c>
      <c r="G44" s="6" t="e">
        <f t="shared" si="3"/>
        <v>#N/A</v>
      </c>
      <c r="H44" s="6">
        <f t="shared" si="4"/>
        <v>75.72347907898876</v>
      </c>
      <c r="M44" s="9">
        <f t="shared" si="5"/>
        <v>9</v>
      </c>
      <c r="N44" s="9">
        <f t="shared" si="6"/>
        <v>22.142777267932871</v>
      </c>
      <c r="O44" s="9" t="str">
        <f t="shared" si="7"/>
        <v>Class 3</v>
      </c>
    </row>
    <row r="45" spans="1:15" x14ac:dyDescent="0.3">
      <c r="A45" s="6" t="s">
        <v>162</v>
      </c>
      <c r="B45" s="6">
        <v>76.51776176536606</v>
      </c>
      <c r="C45" s="6" t="s">
        <v>7</v>
      </c>
      <c r="D45" s="6">
        <f t="shared" si="0"/>
        <v>6.5333333333333332</v>
      </c>
      <c r="E45" s="6">
        <f t="shared" si="1"/>
        <v>6.5333333333333332</v>
      </c>
      <c r="F45" s="6" t="e">
        <f t="shared" si="2"/>
        <v>#N/A</v>
      </c>
      <c r="G45" s="6" t="e">
        <f t="shared" si="3"/>
        <v>#N/A</v>
      </c>
      <c r="H45" s="6">
        <f t="shared" si="4"/>
        <v>76.51776176536606</v>
      </c>
      <c r="M45" s="9">
        <f t="shared" si="5"/>
        <v>7</v>
      </c>
      <c r="N45" s="9">
        <f t="shared" si="6"/>
        <v>22.221983966132491</v>
      </c>
      <c r="O45" s="9" t="str">
        <f t="shared" si="7"/>
        <v>Class 3</v>
      </c>
    </row>
    <row r="46" spans="1:15" x14ac:dyDescent="0.3">
      <c r="A46" s="6" t="s">
        <v>163</v>
      </c>
      <c r="B46" s="6">
        <v>57.575609164317363</v>
      </c>
      <c r="C46" s="6" t="s">
        <v>5</v>
      </c>
      <c r="D46" s="6">
        <f t="shared" si="0"/>
        <v>-4.75</v>
      </c>
      <c r="E46" s="6">
        <f t="shared" si="1"/>
        <v>19.25</v>
      </c>
      <c r="F46" s="6" t="e">
        <f t="shared" si="2"/>
        <v>#N/A</v>
      </c>
      <c r="G46" s="6">
        <f t="shared" si="3"/>
        <v>57.575609164317363</v>
      </c>
      <c r="H46" s="6" t="e">
        <f t="shared" si="4"/>
        <v>#N/A</v>
      </c>
      <c r="M46" s="9">
        <f t="shared" si="5"/>
        <v>43</v>
      </c>
      <c r="N46" s="9">
        <f t="shared" si="6"/>
        <v>7.615436538927149</v>
      </c>
      <c r="O46" s="9" t="str">
        <f t="shared" si="7"/>
        <v>Class 2</v>
      </c>
    </row>
    <row r="47" spans="1:15" x14ac:dyDescent="0.3">
      <c r="A47" s="6" t="s">
        <v>164</v>
      </c>
      <c r="B47" s="6">
        <v>72.788991094578961</v>
      </c>
      <c r="C47" s="6" t="s">
        <v>5</v>
      </c>
      <c r="D47" s="6">
        <f t="shared" si="0"/>
        <v>2.9666666666666668</v>
      </c>
      <c r="E47" s="6">
        <f t="shared" si="1"/>
        <v>2.9666666666666668</v>
      </c>
      <c r="F47" s="6" t="e">
        <f t="shared" si="2"/>
        <v>#N/A</v>
      </c>
      <c r="G47" s="6">
        <f t="shared" si="3"/>
        <v>72.788991094578961</v>
      </c>
      <c r="H47" s="6" t="e">
        <f t="shared" si="4"/>
        <v>#N/A</v>
      </c>
      <c r="M47" s="9">
        <f t="shared" si="5"/>
        <v>14</v>
      </c>
      <c r="N47" s="9">
        <f t="shared" si="6"/>
        <v>19.98904238011718</v>
      </c>
      <c r="O47" s="9" t="str">
        <f t="shared" si="7"/>
        <v>Class 2</v>
      </c>
    </row>
    <row r="48" spans="1:15" x14ac:dyDescent="0.3">
      <c r="A48" s="6" t="s">
        <v>165</v>
      </c>
      <c r="B48" s="6">
        <v>64.703242743012964</v>
      </c>
      <c r="C48" s="6" t="s">
        <v>118</v>
      </c>
      <c r="D48" s="6">
        <f t="shared" si="0"/>
        <v>10.466666666666665</v>
      </c>
      <c r="E48" s="6">
        <f t="shared" si="1"/>
        <v>10.466666666666665</v>
      </c>
      <c r="F48" s="6" t="e">
        <f t="shared" si="2"/>
        <v>#N/A</v>
      </c>
      <c r="G48" s="6" t="e">
        <f t="shared" si="3"/>
        <v>#N/A</v>
      </c>
      <c r="H48" s="6" t="e">
        <f t="shared" si="4"/>
        <v>#N/A</v>
      </c>
      <c r="M48" s="9">
        <f t="shared" si="5"/>
        <v>41</v>
      </c>
      <c r="N48" s="9">
        <f t="shared" si="6"/>
        <v>9.8369980604320979</v>
      </c>
      <c r="O48" s="9" t="str">
        <f t="shared" si="7"/>
        <v>Class2</v>
      </c>
    </row>
    <row r="49" spans="1:15" x14ac:dyDescent="0.3">
      <c r="A49" s="6" t="s">
        <v>166</v>
      </c>
      <c r="B49" s="6">
        <v>74.833817001415753</v>
      </c>
      <c r="C49" s="6" t="s">
        <v>5</v>
      </c>
      <c r="D49" s="6">
        <f t="shared" si="0"/>
        <v>11.899999999999999</v>
      </c>
      <c r="E49" s="6">
        <f t="shared" si="1"/>
        <v>11.899999999999999</v>
      </c>
      <c r="F49" s="6" t="e">
        <f t="shared" si="2"/>
        <v>#N/A</v>
      </c>
      <c r="G49" s="6">
        <f t="shared" si="3"/>
        <v>74.833817001415753</v>
      </c>
      <c r="H49" s="6" t="e">
        <f t="shared" si="4"/>
        <v>#N/A</v>
      </c>
      <c r="M49" s="9">
        <f t="shared" si="5"/>
        <v>16</v>
      </c>
      <c r="N49" s="9">
        <f t="shared" si="6"/>
        <v>19.834664301589772</v>
      </c>
      <c r="O49" s="9" t="str">
        <f t="shared" si="7"/>
        <v>Class 2</v>
      </c>
    </row>
    <row r="50" spans="1:15" x14ac:dyDescent="0.3">
      <c r="A50" s="6" t="s">
        <v>167</v>
      </c>
      <c r="B50" s="6">
        <v>66.418594705906031</v>
      </c>
      <c r="C50" s="6" t="s">
        <v>5</v>
      </c>
      <c r="D50" s="6">
        <f t="shared" si="0"/>
        <v>3.8333333333333339</v>
      </c>
      <c r="E50" s="6">
        <f t="shared" si="1"/>
        <v>3.8333333333333339</v>
      </c>
      <c r="F50" s="6" t="e">
        <f t="shared" si="2"/>
        <v>#N/A</v>
      </c>
      <c r="G50" s="6">
        <f t="shared" si="3"/>
        <v>66.418594705906031</v>
      </c>
      <c r="H50" s="6" t="e">
        <f t="shared" si="4"/>
        <v>#N/A</v>
      </c>
      <c r="M50" s="9">
        <f t="shared" si="5"/>
        <v>25</v>
      </c>
      <c r="N50" s="9">
        <f t="shared" si="6"/>
        <v>14.087114859251528</v>
      </c>
      <c r="O50" s="9" t="str">
        <f t="shared" si="7"/>
        <v>Class 2</v>
      </c>
    </row>
    <row r="51" spans="1:15" x14ac:dyDescent="0.3">
      <c r="A51" s="6" t="s">
        <v>168</v>
      </c>
      <c r="B51" s="6">
        <v>64.513178603504542</v>
      </c>
      <c r="C51" s="6" t="s">
        <v>5</v>
      </c>
      <c r="D51" s="6">
        <f t="shared" si="0"/>
        <v>8.9666666666666668</v>
      </c>
      <c r="E51" s="6">
        <f t="shared" si="1"/>
        <v>8.9666666666666668</v>
      </c>
      <c r="F51" s="6" t="e">
        <f t="shared" si="2"/>
        <v>#N/A</v>
      </c>
      <c r="G51" s="6">
        <f t="shared" si="3"/>
        <v>64.513178603504542</v>
      </c>
      <c r="H51" s="6" t="e">
        <f t="shared" si="4"/>
        <v>#N/A</v>
      </c>
      <c r="M51" s="9">
        <f t="shared" si="5"/>
        <v>40</v>
      </c>
      <c r="N51" s="9">
        <f t="shared" si="6"/>
        <v>10.01070318475619</v>
      </c>
      <c r="O51" s="9" t="str">
        <f t="shared" si="7"/>
        <v>Class 2</v>
      </c>
    </row>
  </sheetData>
  <mergeCells count="6">
    <mergeCell ref="W1:X1"/>
    <mergeCell ref="A1:H1"/>
    <mergeCell ref="J1:K1"/>
    <mergeCell ref="M1:O1"/>
    <mergeCell ref="Q1:R1"/>
    <mergeCell ref="T1:U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FAAC5-1E5C-4320-9039-BC2E7F3C0235}">
  <dimension ref="A1:AD51"/>
  <sheetViews>
    <sheetView workbookViewId="0">
      <selection activeCell="V49" sqref="V49"/>
    </sheetView>
  </sheetViews>
  <sheetFormatPr defaultRowHeight="14.4" x14ac:dyDescent="0.3"/>
  <cols>
    <col min="3" max="3" width="12.44140625" bestFit="1" customWidth="1"/>
    <col min="12" max="12" width="2.88671875" style="1" customWidth="1"/>
    <col min="16" max="16" width="3.44140625" style="1" customWidth="1"/>
    <col min="20" max="20" width="3.6640625" style="1" customWidth="1"/>
    <col min="23" max="23" width="3.33203125" style="1" customWidth="1"/>
    <col min="26" max="26" width="4.21875" style="1" customWidth="1"/>
    <col min="29" max="29" width="3.77734375" style="1" customWidth="1"/>
    <col min="30" max="30" width="10.77734375" customWidth="1"/>
  </cols>
  <sheetData>
    <row r="1" spans="1:30" x14ac:dyDescent="0.3">
      <c r="L1" s="2"/>
      <c r="M1" s="24" t="s">
        <v>58</v>
      </c>
      <c r="N1" s="24"/>
      <c r="O1" s="16"/>
      <c r="P1" s="2"/>
      <c r="Q1" s="24" t="s">
        <v>119</v>
      </c>
      <c r="R1" s="24"/>
      <c r="S1" s="24"/>
      <c r="T1" s="2"/>
      <c r="U1" s="24" t="s">
        <v>62</v>
      </c>
      <c r="V1" s="24"/>
      <c r="W1" s="2"/>
      <c r="X1" s="24" t="s">
        <v>65</v>
      </c>
      <c r="Y1" s="24"/>
      <c r="Z1" s="2" t="s">
        <v>68</v>
      </c>
      <c r="AA1" s="24" t="s">
        <v>67</v>
      </c>
      <c r="AB1" s="24"/>
      <c r="AD1" s="15"/>
    </row>
    <row r="2" spans="1:30" x14ac:dyDescent="0.3">
      <c r="A2" s="5" t="s">
        <v>1</v>
      </c>
      <c r="B2" s="5" t="s">
        <v>2</v>
      </c>
      <c r="C2" s="5" t="s">
        <v>3</v>
      </c>
      <c r="D2" s="5"/>
      <c r="E2" s="5" t="s">
        <v>57</v>
      </c>
      <c r="F2" s="5" t="s">
        <v>12</v>
      </c>
      <c r="G2" s="5" t="s">
        <v>5</v>
      </c>
      <c r="H2" s="5" t="s">
        <v>7</v>
      </c>
      <c r="I2" s="17"/>
      <c r="J2" s="17"/>
      <c r="K2" s="17"/>
      <c r="L2" s="2"/>
      <c r="M2" s="11"/>
      <c r="N2" s="11"/>
      <c r="O2" s="17"/>
      <c r="P2" s="2"/>
      <c r="Q2" s="5" t="s">
        <v>59</v>
      </c>
      <c r="R2" s="5" t="s">
        <v>60</v>
      </c>
      <c r="S2" s="5" t="s">
        <v>61</v>
      </c>
      <c r="T2" s="2"/>
      <c r="U2" s="5" t="s">
        <v>63</v>
      </c>
      <c r="V2" s="5" t="s">
        <v>61</v>
      </c>
      <c r="W2" s="2"/>
      <c r="X2" s="5" t="s">
        <v>66</v>
      </c>
      <c r="Y2" s="5" t="s">
        <v>61</v>
      </c>
      <c r="Z2" s="2"/>
      <c r="AA2" s="5" t="s">
        <v>66</v>
      </c>
      <c r="AB2" s="5" t="s">
        <v>61</v>
      </c>
      <c r="AD2" s="14"/>
    </row>
    <row r="3" spans="1:30" x14ac:dyDescent="0.3">
      <c r="A3" s="20">
        <v>0.51739583333333339</v>
      </c>
      <c r="B3" s="6">
        <v>54.77616010285201</v>
      </c>
      <c r="C3" s="6" t="s">
        <v>5</v>
      </c>
      <c r="D3" s="6">
        <f>HOUR(A3)+MINUTE(A3)/60 - 6</f>
        <v>6.4166666666666661</v>
      </c>
      <c r="E3" s="6">
        <f>IF(D3&lt;0,D3+24,D3)</f>
        <v>6.4166666666666661</v>
      </c>
      <c r="F3" s="6" t="e">
        <f>IF($F$2=C3,B3,NA())</f>
        <v>#N/A</v>
      </c>
      <c r="G3" s="6">
        <f>IF($G$2=C3,B3,NA())</f>
        <v>54.77616010285201</v>
      </c>
      <c r="H3" s="6" t="e">
        <f>IF($H$2=C3,B3,NA())</f>
        <v>#N/A</v>
      </c>
      <c r="I3" s="18"/>
      <c r="J3" s="18"/>
      <c r="K3" s="18"/>
      <c r="M3" s="8" t="s">
        <v>1</v>
      </c>
      <c r="N3" s="6" t="s">
        <v>168</v>
      </c>
      <c r="O3" s="6">
        <v>64.513178603504542</v>
      </c>
      <c r="Q3" s="9">
        <f>RANK(R3,$R$3:$R$40,1)</f>
        <v>13</v>
      </c>
      <c r="R3" s="9">
        <f>SQRT(($O$3-B3)^2+($N$7-E3)^2)</f>
        <v>10.06538768662438</v>
      </c>
      <c r="S3" s="9" t="str">
        <f t="shared" ref="S3:S40" si="0">C3</f>
        <v>Class 2</v>
      </c>
      <c r="U3" s="10">
        <v>1</v>
      </c>
      <c r="V3" s="10" t="str">
        <f>VLOOKUP(U3,$Q$3:$S$40,3,FALSE)</f>
        <v>Class 2</v>
      </c>
      <c r="X3" s="10">
        <v>1</v>
      </c>
      <c r="Y3" s="10" t="str">
        <f t="shared" ref="Y3:Y4" si="1">VLOOKUP(X3,$Q$3:$S$40,3,FALSE)</f>
        <v>Class 2</v>
      </c>
      <c r="AA3" s="10">
        <v>1</v>
      </c>
      <c r="AB3" s="10" t="str">
        <f>VLOOKUP(AA3,$Q$3:$S$51,3,FALSE)</f>
        <v>Class 2</v>
      </c>
      <c r="AD3" s="14"/>
    </row>
    <row r="4" spans="1:30" x14ac:dyDescent="0.3">
      <c r="A4" s="6" t="s">
        <v>121</v>
      </c>
      <c r="B4" s="6">
        <v>51.560079521663212</v>
      </c>
      <c r="C4" s="6" t="s">
        <v>5</v>
      </c>
      <c r="D4" s="6">
        <f t="shared" ref="D4:D51" si="2">HOUR(A4)+MINUTE(A4)/60 - 6</f>
        <v>7.4166666666666661</v>
      </c>
      <c r="E4" s="6">
        <f t="shared" ref="E4:E51" si="3">IF(D4&lt;0,D4+24,D4)</f>
        <v>7.4166666666666661</v>
      </c>
      <c r="F4" s="6" t="e">
        <f t="shared" ref="F4:F51" si="4">IF($F$2=C4,B4,NA())</f>
        <v>#N/A</v>
      </c>
      <c r="G4" s="6">
        <f t="shared" ref="G4:G51" si="5">IF($G$2=C4,B4,NA())</f>
        <v>51.560079521663212</v>
      </c>
      <c r="H4" s="6" t="e">
        <f t="shared" ref="H4:H51" si="6">IF($H$2=C4,B4,NA())</f>
        <v>#N/A</v>
      </c>
      <c r="I4" s="18"/>
      <c r="J4" s="18"/>
      <c r="K4" s="18"/>
      <c r="M4" s="8" t="s">
        <v>2</v>
      </c>
      <c r="N4" s="6">
        <v>41.619050102042891</v>
      </c>
      <c r="O4" s="18"/>
      <c r="Q4" s="9">
        <f t="shared" ref="Q4:Q40" si="7">RANK(R4,$R$3:$R$40,1)</f>
        <v>22</v>
      </c>
      <c r="R4" s="9">
        <f t="shared" ref="R4:R40" si="8">SQRT(($O$3-B4)^2+($N$7-E4)^2)</f>
        <v>13.045507879112975</v>
      </c>
      <c r="S4" s="9" t="str">
        <f t="shared" si="0"/>
        <v>Class 2</v>
      </c>
      <c r="U4" s="10">
        <v>2</v>
      </c>
      <c r="V4" s="10" t="str">
        <f t="shared" ref="V4:V5" si="9">VLOOKUP(U4,$Q$3:$S$40,3,FALSE)</f>
        <v>Class 2</v>
      </c>
      <c r="X4" s="10">
        <v>2</v>
      </c>
      <c r="Y4" s="10" t="str">
        <f t="shared" si="1"/>
        <v>Class 2</v>
      </c>
      <c r="AA4" s="10">
        <v>2</v>
      </c>
      <c r="AB4" s="10" t="str">
        <f t="shared" ref="AB4:AB9" si="10">VLOOKUP(AA4,$Q$3:$S$51,3,FALSE)</f>
        <v>Class 2</v>
      </c>
      <c r="AD4" s="14"/>
    </row>
    <row r="5" spans="1:30" x14ac:dyDescent="0.3">
      <c r="A5" s="6" t="s">
        <v>122</v>
      </c>
      <c r="B5" s="6">
        <v>67.931271493713439</v>
      </c>
      <c r="C5" s="6" t="s">
        <v>7</v>
      </c>
      <c r="D5" s="6">
        <f t="shared" si="2"/>
        <v>-2.7333333333333334</v>
      </c>
      <c r="E5" s="6">
        <f t="shared" si="3"/>
        <v>21.266666666666666</v>
      </c>
      <c r="F5" s="6" t="e">
        <f t="shared" si="4"/>
        <v>#N/A</v>
      </c>
      <c r="G5" s="6" t="e">
        <f t="shared" si="5"/>
        <v>#N/A</v>
      </c>
      <c r="H5" s="6">
        <f t="shared" si="6"/>
        <v>67.931271493713439</v>
      </c>
      <c r="I5" s="18"/>
      <c r="J5" s="18"/>
      <c r="K5" s="18"/>
      <c r="Q5" s="9">
        <f t="shared" si="7"/>
        <v>21</v>
      </c>
      <c r="R5" s="9">
        <f t="shared" si="8"/>
        <v>12.766101950325188</v>
      </c>
      <c r="S5" s="9" t="str">
        <f t="shared" si="0"/>
        <v>Class 3</v>
      </c>
      <c r="U5" s="10">
        <v>3</v>
      </c>
      <c r="V5" s="10" t="str">
        <f t="shared" si="9"/>
        <v>Class 2</v>
      </c>
      <c r="X5" s="10">
        <v>3</v>
      </c>
      <c r="Y5" s="10" t="str">
        <f>VLOOKUP(X5,$Q$3:$S$40,3,FALSE)</f>
        <v>Class 2</v>
      </c>
      <c r="AA5" s="10">
        <v>3</v>
      </c>
      <c r="AB5" s="10" t="str">
        <f t="shared" si="10"/>
        <v>Class 2</v>
      </c>
    </row>
    <row r="6" spans="1:30" x14ac:dyDescent="0.3">
      <c r="A6" s="6" t="s">
        <v>123</v>
      </c>
      <c r="B6" s="6">
        <v>85.462045214093123</v>
      </c>
      <c r="C6" s="6" t="s">
        <v>7</v>
      </c>
      <c r="D6" s="6">
        <f t="shared" si="2"/>
        <v>8.4666666666666668</v>
      </c>
      <c r="E6" s="6">
        <f t="shared" si="3"/>
        <v>8.4666666666666668</v>
      </c>
      <c r="F6" s="6" t="e">
        <f t="shared" si="4"/>
        <v>#N/A</v>
      </c>
      <c r="G6" s="6" t="e">
        <f t="shared" si="5"/>
        <v>#N/A</v>
      </c>
      <c r="H6" s="6">
        <f t="shared" si="6"/>
        <v>85.462045214093123</v>
      </c>
      <c r="I6" s="18"/>
      <c r="J6" s="18"/>
      <c r="K6" s="18"/>
      <c r="M6" s="8" t="s">
        <v>56</v>
      </c>
      <c r="N6" s="7">
        <f>HOUR(N3)+MINUTE(N3)/60 - 6</f>
        <v>8.9666666666666668</v>
      </c>
      <c r="O6" s="19"/>
      <c r="Q6" s="9">
        <f t="shared" si="7"/>
        <v>32</v>
      </c>
      <c r="R6" s="9">
        <f t="shared" si="8"/>
        <v>20.954832670967171</v>
      </c>
      <c r="S6" s="9" t="str">
        <f t="shared" si="0"/>
        <v>Class 3</v>
      </c>
      <c r="X6" s="10">
        <v>4</v>
      </c>
      <c r="Y6" s="10" t="str">
        <f t="shared" ref="Y6:Y7" si="11">VLOOKUP(X6,$Q$3:$S$40,3,FALSE)</f>
        <v>Class 2</v>
      </c>
      <c r="AA6" s="10">
        <v>4</v>
      </c>
      <c r="AB6" s="10" t="str">
        <f t="shared" si="10"/>
        <v>Class 2</v>
      </c>
    </row>
    <row r="7" spans="1:30" x14ac:dyDescent="0.3">
      <c r="A7" s="6" t="s">
        <v>124</v>
      </c>
      <c r="B7" s="6">
        <v>41.790424512821858</v>
      </c>
      <c r="C7" s="6" t="s">
        <v>5</v>
      </c>
      <c r="D7" s="6">
        <f t="shared" si="2"/>
        <v>5.5333333333333332</v>
      </c>
      <c r="E7" s="6">
        <f t="shared" si="3"/>
        <v>5.5333333333333332</v>
      </c>
      <c r="F7" s="6" t="e">
        <f t="shared" si="4"/>
        <v>#N/A</v>
      </c>
      <c r="G7" s="6">
        <f t="shared" si="5"/>
        <v>41.790424512821858</v>
      </c>
      <c r="H7" s="6" t="e">
        <f t="shared" si="6"/>
        <v>#N/A</v>
      </c>
      <c r="I7" s="18"/>
      <c r="J7" s="18"/>
      <c r="K7" s="18"/>
      <c r="M7" s="8" t="s">
        <v>57</v>
      </c>
      <c r="N7" s="7">
        <f>IF(N6&lt;0,N6+24,N6)</f>
        <v>8.9666666666666668</v>
      </c>
      <c r="O7" s="19"/>
      <c r="Q7" s="9">
        <f t="shared" si="7"/>
        <v>34</v>
      </c>
      <c r="R7" s="9">
        <f t="shared" si="8"/>
        <v>22.980672993700914</v>
      </c>
      <c r="S7" s="9" t="str">
        <f t="shared" si="0"/>
        <v>Class 2</v>
      </c>
      <c r="X7" s="10">
        <v>5</v>
      </c>
      <c r="Y7" s="10" t="str">
        <f t="shared" si="11"/>
        <v>Class 2</v>
      </c>
      <c r="AA7" s="10">
        <v>5</v>
      </c>
      <c r="AB7" s="10" t="str">
        <f t="shared" si="10"/>
        <v>Class 2</v>
      </c>
    </row>
    <row r="8" spans="1:30" x14ac:dyDescent="0.3">
      <c r="A8" s="6" t="s">
        <v>125</v>
      </c>
      <c r="B8" s="6">
        <v>46.902521484649938</v>
      </c>
      <c r="C8" s="6" t="s">
        <v>5</v>
      </c>
      <c r="D8" s="6">
        <f t="shared" si="2"/>
        <v>-5.05</v>
      </c>
      <c r="E8" s="6">
        <f t="shared" si="3"/>
        <v>18.95</v>
      </c>
      <c r="F8" s="6" t="e">
        <f t="shared" si="4"/>
        <v>#N/A</v>
      </c>
      <c r="G8" s="6">
        <f t="shared" si="5"/>
        <v>46.902521484649938</v>
      </c>
      <c r="H8" s="6" t="e">
        <f t="shared" si="6"/>
        <v>#N/A</v>
      </c>
      <c r="I8" s="18"/>
      <c r="J8" s="18"/>
      <c r="K8" s="18"/>
      <c r="Q8" s="9">
        <f t="shared" si="7"/>
        <v>31</v>
      </c>
      <c r="R8" s="9">
        <f t="shared" si="8"/>
        <v>20.243571537708181</v>
      </c>
      <c r="S8" s="9" t="str">
        <f t="shared" si="0"/>
        <v>Class 2</v>
      </c>
      <c r="AA8" s="10">
        <v>6</v>
      </c>
      <c r="AB8" s="10" t="str">
        <f t="shared" si="10"/>
        <v>Class 2</v>
      </c>
    </row>
    <row r="9" spans="1:30" x14ac:dyDescent="0.3">
      <c r="A9" s="6" t="s">
        <v>126</v>
      </c>
      <c r="B9" s="6">
        <v>66.708835294130452</v>
      </c>
      <c r="C9" s="6" t="s">
        <v>5</v>
      </c>
      <c r="D9" s="6">
        <f t="shared" si="2"/>
        <v>15.350000000000001</v>
      </c>
      <c r="E9" s="6">
        <f t="shared" si="3"/>
        <v>15.350000000000001</v>
      </c>
      <c r="F9" s="6" t="e">
        <f t="shared" si="4"/>
        <v>#N/A</v>
      </c>
      <c r="G9" s="6">
        <f t="shared" si="5"/>
        <v>66.708835294130452</v>
      </c>
      <c r="H9" s="6" t="e">
        <f t="shared" si="6"/>
        <v>#N/A</v>
      </c>
      <c r="I9" s="18"/>
      <c r="J9" s="18"/>
      <c r="K9" s="18"/>
      <c r="Q9" s="9">
        <f t="shared" si="7"/>
        <v>7</v>
      </c>
      <c r="R9" s="9">
        <f t="shared" si="8"/>
        <v>6.7503964881727336</v>
      </c>
      <c r="S9" s="9" t="str">
        <f t="shared" si="0"/>
        <v>Class 2</v>
      </c>
      <c r="AA9" s="10">
        <v>7</v>
      </c>
      <c r="AB9" s="10" t="str">
        <f t="shared" si="10"/>
        <v>Class 2</v>
      </c>
    </row>
    <row r="10" spans="1:30" x14ac:dyDescent="0.3">
      <c r="A10" s="6" t="s">
        <v>127</v>
      </c>
      <c r="B10" s="6">
        <v>66.116732901411481</v>
      </c>
      <c r="C10" s="6" t="s">
        <v>7</v>
      </c>
      <c r="D10" s="6">
        <f t="shared" si="2"/>
        <v>-3.1333333333333333</v>
      </c>
      <c r="E10" s="6">
        <f t="shared" si="3"/>
        <v>20.866666666666667</v>
      </c>
      <c r="F10" s="6" t="e">
        <f t="shared" si="4"/>
        <v>#N/A</v>
      </c>
      <c r="G10" s="6" t="e">
        <f t="shared" si="5"/>
        <v>#N/A</v>
      </c>
      <c r="H10" s="6">
        <f t="shared" si="6"/>
        <v>66.116732901411481</v>
      </c>
      <c r="I10" s="18"/>
      <c r="J10" s="18"/>
      <c r="K10" s="18"/>
      <c r="Q10" s="9">
        <f t="shared" si="7"/>
        <v>19</v>
      </c>
      <c r="R10" s="9">
        <f t="shared" si="8"/>
        <v>12.007555387602251</v>
      </c>
      <c r="S10" s="9" t="str">
        <f t="shared" si="0"/>
        <v>Class 3</v>
      </c>
    </row>
    <row r="11" spans="1:30" x14ac:dyDescent="0.3">
      <c r="A11" s="6" t="s">
        <v>128</v>
      </c>
      <c r="B11" s="6">
        <v>53.838166595999638</v>
      </c>
      <c r="C11" s="6" t="s">
        <v>5</v>
      </c>
      <c r="D11" s="6">
        <f t="shared" si="2"/>
        <v>-5.5</v>
      </c>
      <c r="E11" s="6">
        <f t="shared" si="3"/>
        <v>18.5</v>
      </c>
      <c r="F11" s="6" t="e">
        <f t="shared" si="4"/>
        <v>#N/A</v>
      </c>
      <c r="G11" s="6">
        <f t="shared" si="5"/>
        <v>53.838166595999638</v>
      </c>
      <c r="H11" s="6" t="e">
        <f t="shared" si="6"/>
        <v>#N/A</v>
      </c>
      <c r="I11" s="18"/>
      <c r="J11" s="18"/>
      <c r="K11" s="18"/>
      <c r="Q11" s="9">
        <f t="shared" si="7"/>
        <v>24</v>
      </c>
      <c r="R11" s="9">
        <f t="shared" si="8"/>
        <v>14.312243912287769</v>
      </c>
      <c r="S11" s="9" t="str">
        <f t="shared" si="0"/>
        <v>Class 2</v>
      </c>
      <c r="U11" s="8" t="s">
        <v>64</v>
      </c>
      <c r="V11" s="8" t="str">
        <f>INDEX(V3:V5,MODE(MATCH(V3:V5,V3:V5,0)))</f>
        <v>Class 2</v>
      </c>
      <c r="W11" s="2"/>
      <c r="X11" s="8" t="s">
        <v>64</v>
      </c>
      <c r="Y11" s="8" t="str">
        <f>INDEX(Y3:Y7,MODE(MATCH(Y3:Y7,Y3:Y7,0)))</f>
        <v>Class 2</v>
      </c>
      <c r="Z11" s="2"/>
      <c r="AA11" s="8" t="s">
        <v>64</v>
      </c>
      <c r="AB11" s="8" t="str">
        <f>INDEX(AB3:AB9,MODE(MATCH(AB3:AB9,AB3:AB9,0)))</f>
        <v>Class 2</v>
      </c>
    </row>
    <row r="12" spans="1:30" x14ac:dyDescent="0.3">
      <c r="A12" s="6" t="s">
        <v>129</v>
      </c>
      <c r="B12" s="6">
        <v>76.102101171174311</v>
      </c>
      <c r="C12" s="6" t="s">
        <v>7</v>
      </c>
      <c r="D12" s="6">
        <f t="shared" si="2"/>
        <v>-5.166666666666667</v>
      </c>
      <c r="E12" s="6">
        <f t="shared" si="3"/>
        <v>18.833333333333332</v>
      </c>
      <c r="F12" s="6" t="e">
        <f t="shared" si="4"/>
        <v>#N/A</v>
      </c>
      <c r="G12" s="6" t="e">
        <f t="shared" si="5"/>
        <v>#N/A</v>
      </c>
      <c r="H12" s="6">
        <f t="shared" si="6"/>
        <v>76.102101171174311</v>
      </c>
      <c r="I12" s="18"/>
      <c r="J12" s="18"/>
      <c r="K12" s="18"/>
      <c r="Q12" s="9">
        <f t="shared" si="7"/>
        <v>25</v>
      </c>
      <c r="R12" s="9">
        <f t="shared" si="8"/>
        <v>15.22019176589299</v>
      </c>
      <c r="S12" s="9" t="str">
        <f t="shared" si="0"/>
        <v>Class 3</v>
      </c>
      <c r="U12" s="8"/>
      <c r="V12" s="8" t="str">
        <f>_xlfn.IFNA(V11,V3)</f>
        <v>Class 2</v>
      </c>
      <c r="W12" s="2"/>
      <c r="X12" s="8"/>
      <c r="Y12" s="8" t="str">
        <f>_xlfn.IFNA(Y11,INDEX(Y3:Y6,MODE(MATCH(Y3:Y6,Y3:Y6,0))))</f>
        <v>Class 2</v>
      </c>
      <c r="Z12" s="2"/>
      <c r="AA12" s="8"/>
      <c r="AB12" s="8" t="str">
        <f>_xlfn.IFNA(AB11,INDEX(AB3:AB8,MODE(MATCH(AB3:AB8,AB3:AB8,0))))</f>
        <v>Class 2</v>
      </c>
    </row>
    <row r="13" spans="1:30" x14ac:dyDescent="0.3">
      <c r="A13" s="6" t="s">
        <v>130</v>
      </c>
      <c r="B13" s="6">
        <v>72.429535962568309</v>
      </c>
      <c r="C13" s="6" t="s">
        <v>5</v>
      </c>
      <c r="D13" s="6">
        <f t="shared" si="2"/>
        <v>1.5166666666666666</v>
      </c>
      <c r="E13" s="6">
        <f t="shared" si="3"/>
        <v>1.5166666666666666</v>
      </c>
      <c r="F13" s="6" t="e">
        <f t="shared" si="4"/>
        <v>#N/A</v>
      </c>
      <c r="G13" s="6">
        <f t="shared" si="5"/>
        <v>72.429535962568309</v>
      </c>
      <c r="H13" s="6" t="e">
        <f t="shared" si="6"/>
        <v>#N/A</v>
      </c>
      <c r="I13" s="18"/>
      <c r="J13" s="18"/>
      <c r="K13" s="18"/>
      <c r="Q13" s="9">
        <f t="shared" si="7"/>
        <v>16</v>
      </c>
      <c r="R13" s="9">
        <f t="shared" si="8"/>
        <v>10.870658390198962</v>
      </c>
      <c r="S13" s="9" t="str">
        <f t="shared" si="0"/>
        <v>Class 2</v>
      </c>
    </row>
    <row r="14" spans="1:30" x14ac:dyDescent="0.3">
      <c r="A14" s="6" t="s">
        <v>131</v>
      </c>
      <c r="B14" s="6">
        <v>76.831466954362227</v>
      </c>
      <c r="C14" s="6" t="s">
        <v>5</v>
      </c>
      <c r="D14" s="6">
        <f t="shared" si="2"/>
        <v>8.7166666666666668</v>
      </c>
      <c r="E14" s="6">
        <f t="shared" si="3"/>
        <v>8.7166666666666668</v>
      </c>
      <c r="F14" s="6" t="e">
        <f t="shared" si="4"/>
        <v>#N/A</v>
      </c>
      <c r="G14" s="6">
        <f t="shared" si="5"/>
        <v>76.831466954362227</v>
      </c>
      <c r="H14" s="6" t="e">
        <f t="shared" si="6"/>
        <v>#N/A</v>
      </c>
      <c r="I14" s="18"/>
      <c r="J14" s="18"/>
      <c r="K14" s="18"/>
      <c r="Q14" s="9">
        <f t="shared" si="7"/>
        <v>20</v>
      </c>
      <c r="R14" s="9">
        <f t="shared" si="8"/>
        <v>12.320824968112976</v>
      </c>
      <c r="S14" s="9" t="str">
        <f t="shared" si="0"/>
        <v>Class 2</v>
      </c>
    </row>
    <row r="15" spans="1:30" x14ac:dyDescent="0.3">
      <c r="A15" s="6" t="s">
        <v>132</v>
      </c>
      <c r="B15" s="6">
        <v>68.521677374010736</v>
      </c>
      <c r="C15" s="6" t="s">
        <v>5</v>
      </c>
      <c r="D15" s="6">
        <f t="shared" si="2"/>
        <v>12.966666666666665</v>
      </c>
      <c r="E15" s="6">
        <f t="shared" si="3"/>
        <v>12.966666666666665</v>
      </c>
      <c r="F15" s="6" t="e">
        <f t="shared" si="4"/>
        <v>#N/A</v>
      </c>
      <c r="G15" s="6">
        <f t="shared" si="5"/>
        <v>68.521677374010736</v>
      </c>
      <c r="H15" s="6" t="e">
        <f t="shared" si="6"/>
        <v>#N/A</v>
      </c>
      <c r="I15" s="18"/>
      <c r="J15" s="18"/>
      <c r="K15" s="18"/>
      <c r="Q15" s="9">
        <f t="shared" si="7"/>
        <v>6</v>
      </c>
      <c r="R15" s="9">
        <f t="shared" si="8"/>
        <v>5.6628669764660415</v>
      </c>
      <c r="S15" s="9" t="str">
        <f t="shared" si="0"/>
        <v>Class 2</v>
      </c>
    </row>
    <row r="16" spans="1:30" x14ac:dyDescent="0.3">
      <c r="A16" s="6" t="s">
        <v>133</v>
      </c>
      <c r="B16" s="6">
        <v>48.86217897221907</v>
      </c>
      <c r="C16" s="6" t="s">
        <v>12</v>
      </c>
      <c r="D16" s="6">
        <f t="shared" si="2"/>
        <v>7.0666666666666664</v>
      </c>
      <c r="E16" s="6">
        <f t="shared" si="3"/>
        <v>7.0666666666666664</v>
      </c>
      <c r="F16" s="6">
        <f t="shared" si="4"/>
        <v>48.86217897221907</v>
      </c>
      <c r="G16" s="6" t="e">
        <f t="shared" si="5"/>
        <v>#N/A</v>
      </c>
      <c r="H16" s="6" t="e">
        <f t="shared" si="6"/>
        <v>#N/A</v>
      </c>
      <c r="I16" s="18"/>
      <c r="J16" s="18"/>
      <c r="K16" s="18"/>
      <c r="Q16" s="9">
        <f t="shared" si="7"/>
        <v>27</v>
      </c>
      <c r="R16" s="9">
        <f t="shared" si="8"/>
        <v>15.765905919372283</v>
      </c>
      <c r="S16" s="9" t="str">
        <f t="shared" si="0"/>
        <v>Class 1</v>
      </c>
    </row>
    <row r="17" spans="1:19" x14ac:dyDescent="0.3">
      <c r="A17" s="6" t="s">
        <v>134</v>
      </c>
      <c r="B17" s="6">
        <v>90.856134917736441</v>
      </c>
      <c r="C17" s="6" t="s">
        <v>7</v>
      </c>
      <c r="D17" s="6">
        <f t="shared" si="2"/>
        <v>9.4666666666666668</v>
      </c>
      <c r="E17" s="6">
        <f t="shared" si="3"/>
        <v>9.4666666666666668</v>
      </c>
      <c r="F17" s="6" t="e">
        <f t="shared" si="4"/>
        <v>#N/A</v>
      </c>
      <c r="G17" s="6" t="e">
        <f t="shared" si="5"/>
        <v>#N/A</v>
      </c>
      <c r="H17" s="6">
        <f t="shared" si="6"/>
        <v>90.856134917736441</v>
      </c>
      <c r="I17" s="18"/>
      <c r="J17" s="18"/>
      <c r="K17" s="18"/>
      <c r="Q17" s="9">
        <f t="shared" si="7"/>
        <v>37</v>
      </c>
      <c r="R17" s="9">
        <f t="shared" si="8"/>
        <v>26.347700988388535</v>
      </c>
      <c r="S17" s="9" t="str">
        <f t="shared" si="0"/>
        <v>Class 3</v>
      </c>
    </row>
    <row r="18" spans="1:19" x14ac:dyDescent="0.3">
      <c r="A18" s="6" t="s">
        <v>135</v>
      </c>
      <c r="B18" s="6">
        <v>60.005311163199337</v>
      </c>
      <c r="C18" s="6" t="s">
        <v>5</v>
      </c>
      <c r="D18" s="6">
        <f t="shared" si="2"/>
        <v>0.68333333333333357</v>
      </c>
      <c r="E18" s="6">
        <f t="shared" si="3"/>
        <v>0.68333333333333357</v>
      </c>
      <c r="F18" s="6" t="e">
        <f t="shared" si="4"/>
        <v>#N/A</v>
      </c>
      <c r="G18" s="6">
        <f t="shared" si="5"/>
        <v>60.005311163199337</v>
      </c>
      <c r="H18" s="6" t="e">
        <f t="shared" si="6"/>
        <v>#N/A</v>
      </c>
      <c r="I18" s="18"/>
      <c r="J18" s="18"/>
      <c r="K18" s="18"/>
      <c r="Q18" s="9">
        <f t="shared" si="7"/>
        <v>10</v>
      </c>
      <c r="R18" s="9">
        <f t="shared" si="8"/>
        <v>9.4305079380951113</v>
      </c>
      <c r="S18" s="9" t="str">
        <f t="shared" si="0"/>
        <v>Class 2</v>
      </c>
    </row>
    <row r="19" spans="1:19" x14ac:dyDescent="0.3">
      <c r="A19" s="6" t="s">
        <v>136</v>
      </c>
      <c r="B19" s="6">
        <v>53.770885371633256</v>
      </c>
      <c r="C19" s="6" t="s">
        <v>12</v>
      </c>
      <c r="D19" s="6">
        <f t="shared" si="2"/>
        <v>10.616666666666667</v>
      </c>
      <c r="E19" s="6">
        <f t="shared" si="3"/>
        <v>10.616666666666667</v>
      </c>
      <c r="F19" s="6">
        <f t="shared" si="4"/>
        <v>53.770885371633256</v>
      </c>
      <c r="G19" s="6" t="e">
        <f t="shared" si="5"/>
        <v>#N/A</v>
      </c>
      <c r="H19" s="6" t="e">
        <f t="shared" si="6"/>
        <v>#N/A</v>
      </c>
      <c r="I19" s="18"/>
      <c r="J19" s="18"/>
      <c r="K19" s="18"/>
      <c r="Q19" s="9">
        <f t="shared" si="7"/>
        <v>15</v>
      </c>
      <c r="R19" s="9">
        <f t="shared" si="8"/>
        <v>10.868273270373157</v>
      </c>
      <c r="S19" s="9" t="str">
        <f t="shared" si="0"/>
        <v>Class 1</v>
      </c>
    </row>
    <row r="20" spans="1:19" x14ac:dyDescent="0.3">
      <c r="A20" s="6" t="s">
        <v>137</v>
      </c>
      <c r="B20" s="6">
        <v>64.424732716236662</v>
      </c>
      <c r="C20" s="6" t="s">
        <v>7</v>
      </c>
      <c r="D20" s="6">
        <f t="shared" si="2"/>
        <v>17.766666666666666</v>
      </c>
      <c r="E20" s="6">
        <f t="shared" si="3"/>
        <v>17.766666666666666</v>
      </c>
      <c r="F20" s="6" t="e">
        <f t="shared" si="4"/>
        <v>#N/A</v>
      </c>
      <c r="G20" s="6" t="e">
        <f t="shared" si="5"/>
        <v>#N/A</v>
      </c>
      <c r="H20" s="6">
        <f t="shared" si="6"/>
        <v>64.424732716236662</v>
      </c>
      <c r="I20" s="18"/>
      <c r="J20" s="18"/>
      <c r="K20" s="18"/>
      <c r="Q20" s="9">
        <f t="shared" si="7"/>
        <v>8</v>
      </c>
      <c r="R20" s="9">
        <f t="shared" si="8"/>
        <v>8.8004444589449342</v>
      </c>
      <c r="S20" s="9" t="str">
        <f t="shared" si="0"/>
        <v>Class 3</v>
      </c>
    </row>
    <row r="21" spans="1:19" x14ac:dyDescent="0.3">
      <c r="A21" s="6" t="s">
        <v>138</v>
      </c>
      <c r="B21" s="6">
        <v>75.315230999546003</v>
      </c>
      <c r="C21" s="6" t="s">
        <v>7</v>
      </c>
      <c r="D21" s="6">
        <f t="shared" si="2"/>
        <v>16.95</v>
      </c>
      <c r="E21" s="6">
        <f t="shared" si="3"/>
        <v>16.95</v>
      </c>
      <c r="F21" s="6" t="e">
        <f t="shared" si="4"/>
        <v>#N/A</v>
      </c>
      <c r="G21" s="6" t="e">
        <f t="shared" si="5"/>
        <v>#N/A</v>
      </c>
      <c r="H21" s="6">
        <f t="shared" si="6"/>
        <v>75.315230999546003</v>
      </c>
      <c r="I21" s="18"/>
      <c r="J21" s="18"/>
      <c r="K21" s="18"/>
      <c r="Q21" s="9">
        <f t="shared" si="7"/>
        <v>23</v>
      </c>
      <c r="R21" s="9">
        <f t="shared" si="8"/>
        <v>13.431974801864994</v>
      </c>
      <c r="S21" s="9" t="str">
        <f t="shared" si="0"/>
        <v>Class 3</v>
      </c>
    </row>
    <row r="22" spans="1:19" x14ac:dyDescent="0.3">
      <c r="A22" s="6" t="s">
        <v>139</v>
      </c>
      <c r="B22" s="6">
        <v>50.519361915620593</v>
      </c>
      <c r="C22" s="6" t="s">
        <v>7</v>
      </c>
      <c r="D22" s="6">
        <f t="shared" si="2"/>
        <v>-1.25</v>
      </c>
      <c r="E22" s="6">
        <f t="shared" si="3"/>
        <v>22.75</v>
      </c>
      <c r="F22" s="6" t="e">
        <f t="shared" si="4"/>
        <v>#N/A</v>
      </c>
      <c r="G22" s="6" t="e">
        <f t="shared" si="5"/>
        <v>#N/A</v>
      </c>
      <c r="H22" s="6">
        <f t="shared" si="6"/>
        <v>50.519361915620593</v>
      </c>
      <c r="I22" s="18"/>
      <c r="J22" s="18"/>
      <c r="K22" s="18"/>
      <c r="Q22" s="9">
        <f t="shared" si="7"/>
        <v>30</v>
      </c>
      <c r="R22" s="9">
        <f t="shared" si="8"/>
        <v>19.641975034906167</v>
      </c>
      <c r="S22" s="9" t="str">
        <f t="shared" si="0"/>
        <v>Class 3</v>
      </c>
    </row>
    <row r="23" spans="1:19" x14ac:dyDescent="0.3">
      <c r="A23" s="6" t="s">
        <v>140</v>
      </c>
      <c r="B23" s="6">
        <v>68.732755156644473</v>
      </c>
      <c r="C23" s="6" t="s">
        <v>5</v>
      </c>
      <c r="D23" s="6">
        <f t="shared" si="2"/>
        <v>10.616666666666667</v>
      </c>
      <c r="E23" s="6">
        <f t="shared" si="3"/>
        <v>10.616666666666667</v>
      </c>
      <c r="F23" s="6" t="e">
        <f t="shared" si="4"/>
        <v>#N/A</v>
      </c>
      <c r="G23" s="6">
        <f t="shared" si="5"/>
        <v>68.732755156644473</v>
      </c>
      <c r="H23" s="6" t="e">
        <f t="shared" si="6"/>
        <v>#N/A</v>
      </c>
      <c r="I23" s="18"/>
      <c r="J23" s="18"/>
      <c r="K23" s="18"/>
      <c r="Q23" s="9">
        <f t="shared" si="7"/>
        <v>5</v>
      </c>
      <c r="R23" s="9">
        <f t="shared" si="8"/>
        <v>4.5307092477677546</v>
      </c>
      <c r="S23" s="9" t="str">
        <f t="shared" si="0"/>
        <v>Class 2</v>
      </c>
    </row>
    <row r="24" spans="1:19" x14ac:dyDescent="0.3">
      <c r="A24" s="6" t="s">
        <v>141</v>
      </c>
      <c r="B24" s="6">
        <v>46.713295235477396</v>
      </c>
      <c r="C24" s="6" t="s">
        <v>12</v>
      </c>
      <c r="D24" s="6">
        <f t="shared" si="2"/>
        <v>5.7833333333333332</v>
      </c>
      <c r="E24" s="6">
        <f t="shared" si="3"/>
        <v>5.7833333333333332</v>
      </c>
      <c r="F24" s="6">
        <f t="shared" si="4"/>
        <v>46.713295235477396</v>
      </c>
      <c r="G24" s="6" t="e">
        <f t="shared" si="5"/>
        <v>#N/A</v>
      </c>
      <c r="H24" s="6" t="e">
        <f t="shared" si="6"/>
        <v>#N/A</v>
      </c>
      <c r="I24" s="18"/>
      <c r="J24" s="18"/>
      <c r="K24" s="18"/>
      <c r="Q24" s="9">
        <f t="shared" si="7"/>
        <v>28</v>
      </c>
      <c r="R24" s="9">
        <f t="shared" si="8"/>
        <v>18.082296840459193</v>
      </c>
      <c r="S24" s="9" t="str">
        <f t="shared" si="0"/>
        <v>Class 1</v>
      </c>
    </row>
    <row r="25" spans="1:19" x14ac:dyDescent="0.3">
      <c r="A25" s="6" t="s">
        <v>142</v>
      </c>
      <c r="B25" s="6">
        <v>65.634928931713745</v>
      </c>
      <c r="C25" s="6" t="s">
        <v>5</v>
      </c>
      <c r="D25" s="6">
        <f t="shared" si="2"/>
        <v>10.616666666666667</v>
      </c>
      <c r="E25" s="6">
        <f t="shared" si="3"/>
        <v>10.616666666666667</v>
      </c>
      <c r="F25" s="6" t="e">
        <f t="shared" si="4"/>
        <v>#N/A</v>
      </c>
      <c r="G25" s="6">
        <f t="shared" si="5"/>
        <v>65.634928931713745</v>
      </c>
      <c r="H25" s="6" t="e">
        <f t="shared" si="6"/>
        <v>#N/A</v>
      </c>
      <c r="I25" s="18"/>
      <c r="J25" s="18"/>
      <c r="K25" s="18"/>
      <c r="Q25" s="9">
        <f t="shared" si="7"/>
        <v>2</v>
      </c>
      <c r="R25" s="9">
        <f t="shared" si="8"/>
        <v>1.9952001901657526</v>
      </c>
      <c r="S25" s="9" t="str">
        <f t="shared" si="0"/>
        <v>Class 2</v>
      </c>
    </row>
    <row r="26" spans="1:19" x14ac:dyDescent="0.3">
      <c r="A26" s="6" t="s">
        <v>143</v>
      </c>
      <c r="B26" s="6">
        <v>64.921799578895033</v>
      </c>
      <c r="C26" s="6" t="s">
        <v>7</v>
      </c>
      <c r="D26" s="6">
        <f t="shared" si="2"/>
        <v>-5.5</v>
      </c>
      <c r="E26" s="6">
        <f t="shared" si="3"/>
        <v>18.5</v>
      </c>
      <c r="F26" s="6" t="e">
        <f t="shared" si="4"/>
        <v>#N/A</v>
      </c>
      <c r="G26" s="6" t="e">
        <f t="shared" si="5"/>
        <v>#N/A</v>
      </c>
      <c r="H26" s="6">
        <f t="shared" si="6"/>
        <v>64.921799578895033</v>
      </c>
      <c r="I26" s="18"/>
      <c r="J26" s="18"/>
      <c r="K26" s="18"/>
      <c r="Q26" s="9">
        <f t="shared" si="7"/>
        <v>12</v>
      </c>
      <c r="R26" s="9">
        <f t="shared" si="8"/>
        <v>9.5420865404781097</v>
      </c>
      <c r="S26" s="9" t="str">
        <f t="shared" si="0"/>
        <v>Class 3</v>
      </c>
    </row>
    <row r="27" spans="1:19" x14ac:dyDescent="0.3">
      <c r="A27" s="6" t="s">
        <v>144</v>
      </c>
      <c r="B27" s="6">
        <v>83.8522090105904</v>
      </c>
      <c r="C27" s="6" t="s">
        <v>7</v>
      </c>
      <c r="D27" s="6">
        <f t="shared" si="2"/>
        <v>-4.75</v>
      </c>
      <c r="E27" s="6">
        <f t="shared" si="3"/>
        <v>19.25</v>
      </c>
      <c r="F27" s="6" t="e">
        <f t="shared" si="4"/>
        <v>#N/A</v>
      </c>
      <c r="G27" s="6" t="e">
        <f t="shared" si="5"/>
        <v>#N/A</v>
      </c>
      <c r="H27" s="6">
        <f t="shared" si="6"/>
        <v>83.8522090105904</v>
      </c>
      <c r="I27" s="18"/>
      <c r="J27" s="18"/>
      <c r="K27" s="18"/>
      <c r="Q27" s="9">
        <f t="shared" si="7"/>
        <v>33</v>
      </c>
      <c r="R27" s="9">
        <f t="shared" si="8"/>
        <v>21.903082922973098</v>
      </c>
      <c r="S27" s="9" t="str">
        <f t="shared" si="0"/>
        <v>Class 3</v>
      </c>
    </row>
    <row r="28" spans="1:19" x14ac:dyDescent="0.3">
      <c r="A28" s="6" t="s">
        <v>145</v>
      </c>
      <c r="B28" s="6">
        <v>73.398767959325028</v>
      </c>
      <c r="C28" s="6" t="s">
        <v>7</v>
      </c>
      <c r="D28" s="6">
        <f t="shared" si="2"/>
        <v>5.5833333333333339</v>
      </c>
      <c r="E28" s="6">
        <f t="shared" si="3"/>
        <v>5.5833333333333339</v>
      </c>
      <c r="F28" s="6" t="e">
        <f t="shared" si="4"/>
        <v>#N/A</v>
      </c>
      <c r="G28" s="6" t="e">
        <f t="shared" si="5"/>
        <v>#N/A</v>
      </c>
      <c r="H28" s="6">
        <f t="shared" si="6"/>
        <v>73.398767959325028</v>
      </c>
      <c r="I28" s="18"/>
      <c r="J28" s="18"/>
      <c r="K28" s="18"/>
      <c r="Q28" s="9">
        <f t="shared" si="7"/>
        <v>11</v>
      </c>
      <c r="R28" s="9">
        <f t="shared" si="8"/>
        <v>9.5079252544766444</v>
      </c>
      <c r="S28" s="9" t="str">
        <f t="shared" si="0"/>
        <v>Class 3</v>
      </c>
    </row>
    <row r="29" spans="1:19" x14ac:dyDescent="0.3">
      <c r="A29" s="6" t="s">
        <v>146</v>
      </c>
      <c r="B29" s="6">
        <v>41.805157827674478</v>
      </c>
      <c r="C29" s="6" t="s">
        <v>5</v>
      </c>
      <c r="D29" s="6">
        <f t="shared" si="2"/>
        <v>-4.1166666666666671</v>
      </c>
      <c r="E29" s="6">
        <f t="shared" si="3"/>
        <v>19.883333333333333</v>
      </c>
      <c r="F29" s="6" t="e">
        <f t="shared" si="4"/>
        <v>#N/A</v>
      </c>
      <c r="G29" s="6">
        <f t="shared" si="5"/>
        <v>41.805157827674478</v>
      </c>
      <c r="H29" s="6" t="e">
        <f t="shared" si="6"/>
        <v>#N/A</v>
      </c>
      <c r="I29" s="18"/>
      <c r="J29" s="18"/>
      <c r="K29" s="18"/>
      <c r="Q29" s="9">
        <f t="shared" si="7"/>
        <v>36</v>
      </c>
      <c r="R29" s="9">
        <f t="shared" si="8"/>
        <v>25.195789701190971</v>
      </c>
      <c r="S29" s="9" t="str">
        <f t="shared" si="0"/>
        <v>Class 2</v>
      </c>
    </row>
    <row r="30" spans="1:19" x14ac:dyDescent="0.3">
      <c r="A30" s="6" t="s">
        <v>147</v>
      </c>
      <c r="B30" s="6">
        <v>44.535928970299935</v>
      </c>
      <c r="C30" s="6" t="s">
        <v>7</v>
      </c>
      <c r="D30" s="6">
        <f t="shared" si="2"/>
        <v>-0.83333333333333304</v>
      </c>
      <c r="E30" s="6">
        <f t="shared" si="3"/>
        <v>23.166666666666668</v>
      </c>
      <c r="F30" s="6" t="e">
        <f t="shared" si="4"/>
        <v>#N/A</v>
      </c>
      <c r="G30" s="6" t="e">
        <f t="shared" si="5"/>
        <v>#N/A</v>
      </c>
      <c r="H30" s="6">
        <f t="shared" si="6"/>
        <v>44.535928970299935</v>
      </c>
      <c r="I30" s="18"/>
      <c r="J30" s="18"/>
      <c r="K30" s="18"/>
      <c r="Q30" s="9">
        <f t="shared" si="7"/>
        <v>35</v>
      </c>
      <c r="R30" s="9">
        <f t="shared" si="8"/>
        <v>24.509804220094733</v>
      </c>
      <c r="S30" s="9" t="str">
        <f t="shared" si="0"/>
        <v>Class 3</v>
      </c>
    </row>
    <row r="31" spans="1:19" x14ac:dyDescent="0.3">
      <c r="A31" s="6" t="s">
        <v>148</v>
      </c>
      <c r="B31" s="6">
        <v>61.06556077907404</v>
      </c>
      <c r="C31" s="6" t="s">
        <v>5</v>
      </c>
      <c r="D31" s="6">
        <f t="shared" si="2"/>
        <v>10.516666666666666</v>
      </c>
      <c r="E31" s="6">
        <f t="shared" si="3"/>
        <v>10.516666666666666</v>
      </c>
      <c r="F31" s="6" t="e">
        <f t="shared" si="4"/>
        <v>#N/A</v>
      </c>
      <c r="G31" s="6">
        <f t="shared" si="5"/>
        <v>61.06556077907404</v>
      </c>
      <c r="H31" s="6" t="e">
        <f t="shared" si="6"/>
        <v>#N/A</v>
      </c>
      <c r="I31" s="18"/>
      <c r="J31" s="18"/>
      <c r="K31" s="18"/>
      <c r="Q31" s="9">
        <f t="shared" si="7"/>
        <v>4</v>
      </c>
      <c r="R31" s="9">
        <f t="shared" si="8"/>
        <v>3.7800223098985675</v>
      </c>
      <c r="S31" s="9" t="str">
        <f t="shared" si="0"/>
        <v>Class 2</v>
      </c>
    </row>
    <row r="32" spans="1:19" x14ac:dyDescent="0.3">
      <c r="A32" s="6" t="s">
        <v>149</v>
      </c>
      <c r="B32" s="6">
        <v>57.326709896337945</v>
      </c>
      <c r="C32" s="6" t="s">
        <v>7</v>
      </c>
      <c r="D32" s="6">
        <f t="shared" si="2"/>
        <v>17.733333333333334</v>
      </c>
      <c r="E32" s="6">
        <f t="shared" si="3"/>
        <v>17.733333333333334</v>
      </c>
      <c r="F32" s="6" t="e">
        <f t="shared" si="4"/>
        <v>#N/A</v>
      </c>
      <c r="G32" s="6" t="e">
        <f t="shared" si="5"/>
        <v>#N/A</v>
      </c>
      <c r="H32" s="6">
        <f t="shared" si="6"/>
        <v>57.326709896337945</v>
      </c>
      <c r="I32" s="18"/>
      <c r="J32" s="18"/>
      <c r="K32" s="18"/>
      <c r="Q32" s="9">
        <f t="shared" si="7"/>
        <v>18</v>
      </c>
      <c r="R32" s="9">
        <f t="shared" si="8"/>
        <v>11.335774209269044</v>
      </c>
      <c r="S32" s="9" t="str">
        <f t="shared" si="0"/>
        <v>Class 3</v>
      </c>
    </row>
    <row r="33" spans="1:19" x14ac:dyDescent="0.3">
      <c r="A33" s="6" t="s">
        <v>150</v>
      </c>
      <c r="B33" s="6">
        <v>64.007326753626714</v>
      </c>
      <c r="C33" s="6" t="s">
        <v>5</v>
      </c>
      <c r="D33" s="6">
        <f t="shared" si="2"/>
        <v>5.5833333333333339</v>
      </c>
      <c r="E33" s="6">
        <f t="shared" si="3"/>
        <v>5.5833333333333339</v>
      </c>
      <c r="F33" s="6" t="e">
        <f t="shared" si="4"/>
        <v>#N/A</v>
      </c>
      <c r="G33" s="6">
        <f t="shared" si="5"/>
        <v>64.007326753626714</v>
      </c>
      <c r="H33" s="6" t="e">
        <f t="shared" si="6"/>
        <v>#N/A</v>
      </c>
      <c r="I33" s="18"/>
      <c r="J33" s="18"/>
      <c r="K33" s="18"/>
      <c r="Q33" s="9">
        <f t="shared" si="7"/>
        <v>3</v>
      </c>
      <c r="R33" s="9">
        <f t="shared" si="8"/>
        <v>3.4209400080196177</v>
      </c>
      <c r="S33" s="9" t="str">
        <f t="shared" si="0"/>
        <v>Class 2</v>
      </c>
    </row>
    <row r="34" spans="1:19" x14ac:dyDescent="0.3">
      <c r="A34" s="6" t="s">
        <v>151</v>
      </c>
      <c r="B34" s="6">
        <v>95.24266360544533</v>
      </c>
      <c r="C34" s="6" t="s">
        <v>7</v>
      </c>
      <c r="D34" s="6">
        <f t="shared" si="2"/>
        <v>-0.86666666666666625</v>
      </c>
      <c r="E34" s="6">
        <f t="shared" si="3"/>
        <v>23.133333333333333</v>
      </c>
      <c r="F34" s="6" t="e">
        <f t="shared" si="4"/>
        <v>#N/A</v>
      </c>
      <c r="G34" s="6" t="e">
        <f t="shared" si="5"/>
        <v>#N/A</v>
      </c>
      <c r="H34" s="6">
        <f t="shared" si="6"/>
        <v>95.24266360544533</v>
      </c>
      <c r="I34" s="18"/>
      <c r="J34" s="18"/>
      <c r="K34" s="18"/>
      <c r="Q34" s="9">
        <f t="shared" si="7"/>
        <v>38</v>
      </c>
      <c r="R34" s="9">
        <f t="shared" si="8"/>
        <v>33.837784988514663</v>
      </c>
      <c r="S34" s="9" t="str">
        <f t="shared" si="0"/>
        <v>Class 3</v>
      </c>
    </row>
    <row r="35" spans="1:19" x14ac:dyDescent="0.3">
      <c r="A35" s="6" t="s">
        <v>152</v>
      </c>
      <c r="B35" s="6">
        <v>63.98239788049333</v>
      </c>
      <c r="C35" s="6" t="s">
        <v>7</v>
      </c>
      <c r="D35" s="6">
        <f t="shared" si="2"/>
        <v>17.983333333333334</v>
      </c>
      <c r="E35" s="6">
        <f t="shared" si="3"/>
        <v>17.983333333333334</v>
      </c>
      <c r="F35" s="6" t="e">
        <f t="shared" si="4"/>
        <v>#N/A</v>
      </c>
      <c r="G35" s="6" t="e">
        <f t="shared" si="5"/>
        <v>#N/A</v>
      </c>
      <c r="H35" s="6">
        <f t="shared" si="6"/>
        <v>63.98239788049333</v>
      </c>
      <c r="I35" s="18"/>
      <c r="J35" s="18"/>
      <c r="K35" s="18"/>
      <c r="Q35" s="9">
        <f t="shared" si="7"/>
        <v>9</v>
      </c>
      <c r="R35" s="9">
        <f t="shared" si="8"/>
        <v>9.0322757903918163</v>
      </c>
      <c r="S35" s="9" t="str">
        <f t="shared" si="0"/>
        <v>Class 3</v>
      </c>
    </row>
    <row r="36" spans="1:19" x14ac:dyDescent="0.3">
      <c r="A36" s="6" t="s">
        <v>153</v>
      </c>
      <c r="B36" s="6">
        <v>77.763649390767725</v>
      </c>
      <c r="C36" s="6" t="s">
        <v>7</v>
      </c>
      <c r="D36" s="6">
        <f t="shared" si="2"/>
        <v>1.0666666666666664</v>
      </c>
      <c r="E36" s="6">
        <f t="shared" si="3"/>
        <v>1.0666666666666664</v>
      </c>
      <c r="F36" s="6" t="e">
        <f t="shared" si="4"/>
        <v>#N/A</v>
      </c>
      <c r="G36" s="6" t="e">
        <f t="shared" si="5"/>
        <v>#N/A</v>
      </c>
      <c r="H36" s="6">
        <f t="shared" si="6"/>
        <v>77.763649390767725</v>
      </c>
      <c r="I36" s="18"/>
      <c r="J36" s="18"/>
      <c r="K36" s="18"/>
      <c r="Q36" s="9">
        <f t="shared" si="7"/>
        <v>26</v>
      </c>
      <c r="R36" s="9">
        <f t="shared" si="8"/>
        <v>15.426761684945903</v>
      </c>
      <c r="S36" s="9" t="str">
        <f t="shared" si="0"/>
        <v>Class 3</v>
      </c>
    </row>
    <row r="37" spans="1:19" x14ac:dyDescent="0.3">
      <c r="A37" s="6" t="s">
        <v>154</v>
      </c>
      <c r="B37" s="6">
        <v>75.211694586381441</v>
      </c>
      <c r="C37" s="6" t="s">
        <v>7</v>
      </c>
      <c r="D37" s="6">
        <f t="shared" si="2"/>
        <v>6.1833333333333336</v>
      </c>
      <c r="E37" s="6">
        <f t="shared" si="3"/>
        <v>6.1833333333333336</v>
      </c>
      <c r="F37" s="6" t="e">
        <f t="shared" si="4"/>
        <v>#N/A</v>
      </c>
      <c r="G37" s="6" t="e">
        <f t="shared" si="5"/>
        <v>#N/A</v>
      </c>
      <c r="H37" s="6">
        <f t="shared" si="6"/>
        <v>75.211694586381441</v>
      </c>
      <c r="I37" s="18"/>
      <c r="J37" s="18"/>
      <c r="K37" s="18"/>
      <c r="Q37" s="9">
        <f t="shared" si="7"/>
        <v>17</v>
      </c>
      <c r="R37" s="9">
        <f t="shared" si="8"/>
        <v>11.05464557009029</v>
      </c>
      <c r="S37" s="9" t="str">
        <f t="shared" si="0"/>
        <v>Class 3</v>
      </c>
    </row>
    <row r="38" spans="1:19" x14ac:dyDescent="0.3">
      <c r="A38" s="6" t="s">
        <v>155</v>
      </c>
      <c r="B38" s="6">
        <v>47.234485744899743</v>
      </c>
      <c r="C38" s="6" t="s">
        <v>12</v>
      </c>
      <c r="D38" s="6">
        <f t="shared" si="2"/>
        <v>3.4000000000000004</v>
      </c>
      <c r="E38" s="6">
        <f t="shared" si="3"/>
        <v>3.4000000000000004</v>
      </c>
      <c r="F38" s="6">
        <f t="shared" si="4"/>
        <v>47.234485744899743</v>
      </c>
      <c r="G38" s="6" t="e">
        <f t="shared" si="5"/>
        <v>#N/A</v>
      </c>
      <c r="H38" s="6" t="e">
        <f t="shared" si="6"/>
        <v>#N/A</v>
      </c>
      <c r="I38" s="18"/>
      <c r="J38" s="18"/>
      <c r="K38" s="18"/>
      <c r="Q38" s="9">
        <f t="shared" si="7"/>
        <v>29</v>
      </c>
      <c r="R38" s="9">
        <f t="shared" si="8"/>
        <v>18.153264298185555</v>
      </c>
      <c r="S38" s="9" t="str">
        <f t="shared" si="0"/>
        <v>Class 1</v>
      </c>
    </row>
    <row r="39" spans="1:19" x14ac:dyDescent="0.3">
      <c r="A39" s="6" t="s">
        <v>156</v>
      </c>
      <c r="B39" s="6">
        <v>65.480318129643379</v>
      </c>
      <c r="C39" s="6" t="s">
        <v>5</v>
      </c>
      <c r="D39" s="6">
        <f t="shared" si="2"/>
        <v>8.9333333333333336</v>
      </c>
      <c r="E39" s="6">
        <f t="shared" si="3"/>
        <v>8.9333333333333336</v>
      </c>
      <c r="F39" s="6" t="e">
        <f t="shared" si="4"/>
        <v>#N/A</v>
      </c>
      <c r="G39" s="6">
        <f t="shared" si="5"/>
        <v>65.480318129643379</v>
      </c>
      <c r="H39" s="6" t="e">
        <f t="shared" si="6"/>
        <v>#N/A</v>
      </c>
      <c r="I39" s="18"/>
      <c r="J39" s="18"/>
      <c r="K39" s="18"/>
      <c r="Q39" s="9">
        <f t="shared" si="7"/>
        <v>1</v>
      </c>
      <c r="R39" s="9">
        <f t="shared" si="8"/>
        <v>0.96771378730033863</v>
      </c>
      <c r="S39" s="9" t="str">
        <f t="shared" si="0"/>
        <v>Class 2</v>
      </c>
    </row>
    <row r="40" spans="1:19" x14ac:dyDescent="0.3">
      <c r="A40" s="6" t="s">
        <v>157</v>
      </c>
      <c r="B40" s="6">
        <v>74.427852799056922</v>
      </c>
      <c r="C40" s="6" t="s">
        <v>7</v>
      </c>
      <c r="D40" s="6">
        <f t="shared" si="2"/>
        <v>13.399999999999999</v>
      </c>
      <c r="E40" s="6">
        <f t="shared" si="3"/>
        <v>13.399999999999999</v>
      </c>
      <c r="F40" s="6" t="e">
        <f t="shared" si="4"/>
        <v>#N/A</v>
      </c>
      <c r="G40" s="6" t="e">
        <f t="shared" si="5"/>
        <v>#N/A</v>
      </c>
      <c r="H40" s="6">
        <f t="shared" si="6"/>
        <v>74.427852799056922</v>
      </c>
      <c r="I40" s="18"/>
      <c r="J40" s="18"/>
      <c r="K40" s="18"/>
      <c r="Q40" s="9">
        <f t="shared" si="7"/>
        <v>14</v>
      </c>
      <c r="R40" s="9">
        <f t="shared" si="8"/>
        <v>10.860718615653232</v>
      </c>
      <c r="S40" s="9" t="str">
        <f t="shared" si="0"/>
        <v>Class 3</v>
      </c>
    </row>
    <row r="41" spans="1:19" s="23" customFormat="1" x14ac:dyDescent="0.3">
      <c r="A41" s="21" t="s">
        <v>158</v>
      </c>
      <c r="B41" s="21">
        <v>71.836798860384519</v>
      </c>
      <c r="C41" s="21" t="s">
        <v>5</v>
      </c>
      <c r="D41" s="21">
        <f t="shared" si="2"/>
        <v>11.8</v>
      </c>
      <c r="E41" s="21">
        <f t="shared" si="3"/>
        <v>11.8</v>
      </c>
      <c r="F41" s="21" t="e">
        <f t="shared" si="4"/>
        <v>#N/A</v>
      </c>
      <c r="G41" s="21">
        <f t="shared" si="5"/>
        <v>71.836798860384519</v>
      </c>
      <c r="H41" s="21" t="e">
        <f t="shared" si="6"/>
        <v>#N/A</v>
      </c>
      <c r="I41" s="22">
        <v>2</v>
      </c>
      <c r="J41" s="22">
        <v>2</v>
      </c>
      <c r="K41" s="22">
        <v>2</v>
      </c>
      <c r="Q41" s="21"/>
      <c r="R41" s="21"/>
      <c r="S41" s="21"/>
    </row>
    <row r="42" spans="1:19" x14ac:dyDescent="0.3">
      <c r="A42" s="6" t="s">
        <v>159</v>
      </c>
      <c r="B42" s="6">
        <v>84.335102473215613</v>
      </c>
      <c r="C42" s="6" t="s">
        <v>7</v>
      </c>
      <c r="D42" s="6">
        <f t="shared" si="2"/>
        <v>-4.2833333333333332</v>
      </c>
      <c r="E42" s="6">
        <f t="shared" si="3"/>
        <v>19.716666666666669</v>
      </c>
      <c r="F42" s="6" t="e">
        <f t="shared" si="4"/>
        <v>#N/A</v>
      </c>
      <c r="G42" s="6" t="e">
        <f t="shared" si="5"/>
        <v>#N/A</v>
      </c>
      <c r="H42" s="6">
        <f t="shared" si="6"/>
        <v>84.335102473215613</v>
      </c>
      <c r="I42" s="18">
        <v>3</v>
      </c>
      <c r="J42" s="18">
        <v>3</v>
      </c>
      <c r="K42" s="18">
        <v>3</v>
      </c>
      <c r="Q42" s="9"/>
      <c r="R42" s="9"/>
      <c r="S42" s="9"/>
    </row>
    <row r="43" spans="1:19" x14ac:dyDescent="0.3">
      <c r="A43" s="6" t="s">
        <v>160</v>
      </c>
      <c r="B43" s="6">
        <v>36.60435908617319</v>
      </c>
      <c r="C43" s="6" t="s">
        <v>12</v>
      </c>
      <c r="D43" s="6">
        <f t="shared" si="2"/>
        <v>4.6500000000000004</v>
      </c>
      <c r="E43" s="6">
        <f t="shared" si="3"/>
        <v>4.6500000000000004</v>
      </c>
      <c r="F43" s="6">
        <f t="shared" si="4"/>
        <v>36.60435908617319</v>
      </c>
      <c r="G43" s="6" t="e">
        <f t="shared" si="5"/>
        <v>#N/A</v>
      </c>
      <c r="H43" s="6" t="e">
        <f t="shared" si="6"/>
        <v>#N/A</v>
      </c>
      <c r="I43" s="18">
        <v>1</v>
      </c>
      <c r="J43" s="18">
        <v>1</v>
      </c>
      <c r="K43" s="18">
        <v>2</v>
      </c>
      <c r="Q43" s="9"/>
      <c r="R43" s="9"/>
      <c r="S43" s="9"/>
    </row>
    <row r="44" spans="1:19" x14ac:dyDescent="0.3">
      <c r="A44" s="6" t="s">
        <v>161</v>
      </c>
      <c r="B44" s="6">
        <v>75.72347907898876</v>
      </c>
      <c r="C44" s="6" t="s">
        <v>7</v>
      </c>
      <c r="D44" s="6">
        <f t="shared" si="2"/>
        <v>4.2833333333333332</v>
      </c>
      <c r="E44" s="6">
        <f t="shared" si="3"/>
        <v>4.2833333333333332</v>
      </c>
      <c r="F44" s="6" t="e">
        <f t="shared" si="4"/>
        <v>#N/A</v>
      </c>
      <c r="G44" s="6" t="e">
        <f t="shared" si="5"/>
        <v>#N/A</v>
      </c>
      <c r="H44" s="6">
        <f t="shared" si="6"/>
        <v>75.72347907898876</v>
      </c>
      <c r="I44" s="18">
        <v>3</v>
      </c>
      <c r="J44" s="18">
        <v>3</v>
      </c>
      <c r="K44" s="18">
        <v>3</v>
      </c>
      <c r="Q44" s="9"/>
      <c r="R44" s="9"/>
      <c r="S44" s="9"/>
    </row>
    <row r="45" spans="1:19" x14ac:dyDescent="0.3">
      <c r="A45" s="6" t="s">
        <v>162</v>
      </c>
      <c r="B45" s="6">
        <v>76.51776176536606</v>
      </c>
      <c r="C45" s="6" t="s">
        <v>7</v>
      </c>
      <c r="D45" s="6">
        <f t="shared" si="2"/>
        <v>6.5333333333333332</v>
      </c>
      <c r="E45" s="6">
        <f t="shared" si="3"/>
        <v>6.5333333333333332</v>
      </c>
      <c r="F45" s="6" t="e">
        <f t="shared" si="4"/>
        <v>#N/A</v>
      </c>
      <c r="G45" s="6" t="e">
        <f t="shared" si="5"/>
        <v>#N/A</v>
      </c>
      <c r="H45" s="6">
        <f t="shared" si="6"/>
        <v>76.51776176536606</v>
      </c>
      <c r="I45" s="18">
        <v>3</v>
      </c>
      <c r="J45" s="18">
        <v>3</v>
      </c>
      <c r="K45" s="18">
        <v>3</v>
      </c>
      <c r="Q45" s="9"/>
      <c r="R45" s="9"/>
      <c r="S45" s="9"/>
    </row>
    <row r="46" spans="1:19" x14ac:dyDescent="0.3">
      <c r="A46" s="6" t="s">
        <v>163</v>
      </c>
      <c r="B46" s="6">
        <v>57.575609164317363</v>
      </c>
      <c r="C46" s="6" t="s">
        <v>5</v>
      </c>
      <c r="D46" s="6">
        <f t="shared" si="2"/>
        <v>-4.75</v>
      </c>
      <c r="E46" s="6">
        <f t="shared" si="3"/>
        <v>19.25</v>
      </c>
      <c r="F46" s="6" t="e">
        <f t="shared" si="4"/>
        <v>#N/A</v>
      </c>
      <c r="G46" s="6">
        <f t="shared" si="5"/>
        <v>57.575609164317363</v>
      </c>
      <c r="H46" s="6" t="e">
        <f t="shared" si="6"/>
        <v>#N/A</v>
      </c>
      <c r="I46" s="18">
        <v>3</v>
      </c>
      <c r="J46" s="18">
        <v>3</v>
      </c>
      <c r="K46" s="18">
        <v>3</v>
      </c>
      <c r="Q46" s="9"/>
      <c r="R46" s="9"/>
      <c r="S46" s="9"/>
    </row>
    <row r="47" spans="1:19" x14ac:dyDescent="0.3">
      <c r="A47" s="6" t="s">
        <v>164</v>
      </c>
      <c r="B47" s="6">
        <v>72.788991094578961</v>
      </c>
      <c r="C47" s="6" t="s">
        <v>5</v>
      </c>
      <c r="D47" s="6">
        <f t="shared" si="2"/>
        <v>2.9666666666666668</v>
      </c>
      <c r="E47" s="6">
        <f t="shared" si="3"/>
        <v>2.9666666666666668</v>
      </c>
      <c r="F47" s="6" t="e">
        <f t="shared" si="4"/>
        <v>#N/A</v>
      </c>
      <c r="G47" s="6">
        <f t="shared" si="5"/>
        <v>72.788991094578961</v>
      </c>
      <c r="H47" s="6" t="e">
        <f t="shared" si="6"/>
        <v>#N/A</v>
      </c>
      <c r="I47" s="18">
        <v>3</v>
      </c>
      <c r="J47" s="18">
        <v>3</v>
      </c>
      <c r="K47" s="18">
        <v>2</v>
      </c>
      <c r="Q47" s="9"/>
      <c r="R47" s="9"/>
      <c r="S47" s="9"/>
    </row>
    <row r="48" spans="1:19" x14ac:dyDescent="0.3">
      <c r="A48" s="6" t="s">
        <v>165</v>
      </c>
      <c r="B48" s="6">
        <v>64.703242743012964</v>
      </c>
      <c r="C48" s="6" t="s">
        <v>118</v>
      </c>
      <c r="D48" s="6">
        <f t="shared" si="2"/>
        <v>10.466666666666665</v>
      </c>
      <c r="E48" s="6">
        <f t="shared" si="3"/>
        <v>10.466666666666665</v>
      </c>
      <c r="F48" s="6" t="e">
        <f t="shared" si="4"/>
        <v>#N/A</v>
      </c>
      <c r="G48" s="6" t="e">
        <f t="shared" si="5"/>
        <v>#N/A</v>
      </c>
      <c r="H48" s="6" t="e">
        <f t="shared" si="6"/>
        <v>#N/A</v>
      </c>
      <c r="I48" s="18">
        <v>2</v>
      </c>
      <c r="J48" s="18">
        <v>2</v>
      </c>
      <c r="K48" s="18">
        <v>2</v>
      </c>
      <c r="Q48" s="9"/>
      <c r="R48" s="9"/>
      <c r="S48" s="9"/>
    </row>
    <row r="49" spans="1:19" x14ac:dyDescent="0.3">
      <c r="A49" s="6" t="s">
        <v>166</v>
      </c>
      <c r="B49" s="6">
        <v>74.833817001415753</v>
      </c>
      <c r="C49" s="6" t="s">
        <v>5</v>
      </c>
      <c r="D49" s="6">
        <f t="shared" si="2"/>
        <v>11.899999999999999</v>
      </c>
      <c r="E49" s="6">
        <f t="shared" si="3"/>
        <v>11.899999999999999</v>
      </c>
      <c r="F49" s="6" t="e">
        <f t="shared" si="4"/>
        <v>#N/A</v>
      </c>
      <c r="G49" s="6">
        <f t="shared" si="5"/>
        <v>74.833817001415753</v>
      </c>
      <c r="H49" s="6" t="e">
        <f t="shared" si="6"/>
        <v>#N/A</v>
      </c>
      <c r="I49" s="18">
        <v>3</v>
      </c>
      <c r="J49" s="18">
        <v>3</v>
      </c>
      <c r="K49" s="18">
        <v>3</v>
      </c>
      <c r="Q49" s="9"/>
      <c r="R49" s="9"/>
      <c r="S49" s="9"/>
    </row>
    <row r="50" spans="1:19" x14ac:dyDescent="0.3">
      <c r="A50" s="6" t="s">
        <v>167</v>
      </c>
      <c r="B50" s="6">
        <v>66.418594705906031</v>
      </c>
      <c r="C50" s="6" t="s">
        <v>5</v>
      </c>
      <c r="D50" s="6">
        <f t="shared" si="2"/>
        <v>3.8333333333333339</v>
      </c>
      <c r="E50" s="6">
        <f t="shared" si="3"/>
        <v>3.8333333333333339</v>
      </c>
      <c r="F50" s="6" t="e">
        <f t="shared" si="4"/>
        <v>#N/A</v>
      </c>
      <c r="G50" s="6">
        <f t="shared" si="5"/>
        <v>66.418594705906031</v>
      </c>
      <c r="H50" s="6" t="e">
        <f t="shared" si="6"/>
        <v>#N/A</v>
      </c>
      <c r="I50" s="18">
        <v>2</v>
      </c>
      <c r="J50" s="18">
        <v>2</v>
      </c>
      <c r="K50" s="18">
        <v>2</v>
      </c>
      <c r="Q50" s="9"/>
      <c r="R50" s="9"/>
      <c r="S50" s="9"/>
    </row>
    <row r="51" spans="1:19" x14ac:dyDescent="0.3">
      <c r="A51" s="6" t="s">
        <v>168</v>
      </c>
      <c r="B51" s="6">
        <v>64.513178603504542</v>
      </c>
      <c r="C51" s="6" t="s">
        <v>5</v>
      </c>
      <c r="D51" s="6">
        <f t="shared" si="2"/>
        <v>8.9666666666666668</v>
      </c>
      <c r="E51" s="6">
        <f t="shared" si="3"/>
        <v>8.9666666666666668</v>
      </c>
      <c r="F51" s="6" t="e">
        <f t="shared" si="4"/>
        <v>#N/A</v>
      </c>
      <c r="G51" s="6">
        <f t="shared" si="5"/>
        <v>64.513178603504542</v>
      </c>
      <c r="H51" s="6" t="e">
        <f t="shared" si="6"/>
        <v>#N/A</v>
      </c>
      <c r="I51" s="18">
        <v>2</v>
      </c>
      <c r="J51" s="18">
        <v>2</v>
      </c>
      <c r="K51" s="18">
        <v>2</v>
      </c>
      <c r="Q51" s="9"/>
      <c r="R51" s="9"/>
      <c r="S51" s="9"/>
    </row>
  </sheetData>
  <mergeCells count="5">
    <mergeCell ref="M1:N1"/>
    <mergeCell ref="Q1:S1"/>
    <mergeCell ref="U1:V1"/>
    <mergeCell ref="X1:Y1"/>
    <mergeCell ref="AA1:A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Sugandh Sinha</dc:creator>
  <cp:lastModifiedBy>Sugandh Sinha</cp:lastModifiedBy>
  <dcterms:created xsi:type="dcterms:W3CDTF">2022-03-31T12:40:50Z</dcterms:created>
  <dcterms:modified xsi:type="dcterms:W3CDTF">2022-07-18T09:32:06Z</dcterms:modified>
</cp:coreProperties>
</file>